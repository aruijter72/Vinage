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arnoldruijter/Projects/Vinage/"/>
    </mc:Choice>
  </mc:AlternateContent>
  <xr:revisionPtr revIDLastSave="0" documentId="13_ncr:1_{CAE2DEDB-B285-B041-AD40-F56C474767AD}" xr6:coauthVersionLast="47" xr6:coauthVersionMax="47" xr10:uidLastSave="{00000000-0000-0000-0000-000000000000}"/>
  <bookViews>
    <workbookView xWindow="0" yWindow="500" windowWidth="33600" windowHeight="19420" xr2:uid="{00000000-000D-0000-FFFF-FFFF00000000}"/>
  </bookViews>
  <sheets>
    <sheet name="All Wines" sheetId="1" r:id="rId1"/>
    <sheet name="Legend" sheetId="2" r:id="rId2"/>
  </sheets>
  <definedNames>
    <definedName name="_xlnm._FilterDatabase" localSheetId="0" hidden="1">'All Wines'!$A$1:$T$180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</calcChain>
</file>

<file path=xl/sharedStrings.xml><?xml version="1.0" encoding="utf-8"?>
<sst xmlns="http://schemas.openxmlformats.org/spreadsheetml/2006/main" count="1957" uniqueCount="1145">
  <si>
    <t>Source</t>
  </si>
  <si>
    <t>Winery</t>
  </si>
  <si>
    <t>Wine name</t>
  </si>
  <si>
    <t>Wine type</t>
  </si>
  <si>
    <t>Region</t>
  </si>
  <si>
    <t>Country</t>
  </si>
  <si>
    <t>Regional wine style</t>
  </si>
  <si>
    <t>Average rating</t>
  </si>
  <si>
    <t>Wine ratings count</t>
  </si>
  <si>
    <t>Your rating</t>
  </si>
  <si>
    <t>Your review</t>
  </si>
  <si>
    <t>Personal Note</t>
  </si>
  <si>
    <t>User cellar count</t>
  </si>
  <si>
    <t>Wishlisted date</t>
  </si>
  <si>
    <t>Scan date</t>
  </si>
  <si>
    <t>Scan/Review Location</t>
  </si>
  <si>
    <t>Link to wine</t>
  </si>
  <si>
    <t>Label image</t>
  </si>
  <si>
    <t>Full list, Cellar</t>
  </si>
  <si>
    <t>Achille Thirion</t>
  </si>
  <si>
    <t>Pinot Gris Vendanges Tardives</t>
  </si>
  <si>
    <t>Dessert Wine</t>
  </si>
  <si>
    <t>Alsace</t>
  </si>
  <si>
    <t>France</t>
  </si>
  <si>
    <t>French Alsace Pinot Gris Dessert</t>
  </si>
  <si>
    <t>Komt van: Scherwiller, Frankrijk 
Wanneer: 2023
Waar is de wijn nu: C10 - D10</t>
  </si>
  <si>
    <t>2023-07-28 15:08:53</t>
  </si>
  <si>
    <t>https://www.vivino.com/wines/165582057</t>
  </si>
  <si>
    <t>https://images.vivino.com/labels/aW9AbKmuTJyYObN7MFDXvQ.jpg</t>
  </si>
  <si>
    <t>Full list</t>
  </si>
  <si>
    <t>Château Vari</t>
  </si>
  <si>
    <t>Monbazillac</t>
  </si>
  <si>
    <t>Southwest France Dessert</t>
  </si>
  <si>
    <t>Het zuurtje is meer onderdeel van de wijn. Dus wel een lekker frisje maar nog wel een echte wijnsmaak.</t>
  </si>
  <si>
    <t>2024-12-25 20:41:05</t>
  </si>
  <si>
    <t>https://www.vivino.com/wines/160805933</t>
  </si>
  <si>
    <t>https://images.vivino.com/labels/9XXze6OaTJ6mgOnNh4JTiQ.jpg</t>
  </si>
  <si>
    <t>Wishlist</t>
  </si>
  <si>
    <t>2024-12-25 20:42:44</t>
  </si>
  <si>
    <t>Château d'Epiré</t>
  </si>
  <si>
    <t>Savennières Moelleux</t>
  </si>
  <si>
    <t>Savennières</t>
  </si>
  <si>
    <t>French Loire Chenin Blanc Dessert</t>
  </si>
  <si>
    <t>Komt van: Ockhuysen 
Wanneer: 2022
Lekker bij: kaas, fruitige desserts
Waar is de wijn nu: 
Koelkast: 0
E10</t>
  </si>
  <si>
    <t>2023-07-28 10:19:52</t>
  </si>
  <si>
    <t>https://www.vivino.com/wines/161313826</t>
  </si>
  <si>
    <t>https://images.vivino.com/labels/6_iRvsuuSaypbkH4mNSdhg.jpg</t>
  </si>
  <si>
    <t>Domaine Daniel Dugois</t>
  </si>
  <si>
    <t>Macvin du Jura</t>
  </si>
  <si>
    <t>Jura</t>
  </si>
  <si>
    <t>Restaurant ML in Haarlem</t>
  </si>
  <si>
    <t>2024-06-18 20:42:32</t>
  </si>
  <si>
    <t>https://www.vivino.com/wines/3717826</t>
  </si>
  <si>
    <t>https://images.vivino.com/labels/JsaXKLP5SBip9ULzepjBRA.jpg</t>
  </si>
  <si>
    <t>Domaine Laurence &amp; Philippe Greiner</t>
  </si>
  <si>
    <t>Vendanges Tardives</t>
  </si>
  <si>
    <t>Komt van: Riquewihr, Frankrijk 
Wanneer: 2023
Smaak: fruitig, zoet
Lekker bij: pittig, zoete desserts
Waar is de wijn nu:</t>
  </si>
  <si>
    <t>2023-07-28 15:50:20</t>
  </si>
  <si>
    <t>https://www.vivino.com/wines/7124440</t>
  </si>
  <si>
    <t>https://images.vivino.com/labels/jwphnbgcQ26z-4WteW4w6A.jpg</t>
  </si>
  <si>
    <t>Frey-Sohler</t>
  </si>
  <si>
    <t>Vendanges Tardives Gewürztraminer</t>
  </si>
  <si>
    <t>French Alsace Gewürztraminer Dessert</t>
  </si>
  <si>
    <t>Komt van: Scherwiller, Frankrijk 
Wanneer: 2023
Smaak: zoet, rond - Vendanges Tardives
Lekker bij: fruitige desserts, kazen
Waar is de wijn nu: F10 - G10 - H10 - I10</t>
  </si>
  <si>
    <t>2023-07-28 15:01:07</t>
  </si>
  <si>
    <t>https://www.vivino.com/wines/165080871</t>
  </si>
  <si>
    <t>https://images.vivino.com/labels/DitoJcQeRx6KA9Patmh3zQ.jpg</t>
  </si>
  <si>
    <t>Grande Maison</t>
  </si>
  <si>
    <t>Cuvée Exotique Monbazillac</t>
  </si>
  <si>
    <t>2024-06-18 20:53:16</t>
  </si>
  <si>
    <t>https://www.vivino.com/wines/154507207</t>
  </si>
  <si>
    <t>https://images.vivino.com/labels/115OAH-wT1ixpEIgff49aw.jpg</t>
  </si>
  <si>
    <t>Palacio de Bornos</t>
  </si>
  <si>
    <t>Sauvignon Blanc Semidulce</t>
  </si>
  <si>
    <t>Rueda</t>
  </si>
  <si>
    <t>Spain</t>
  </si>
  <si>
    <t>Komt van: Ockhuysen 
Wanneer: 2019
Lekker bij: dessert 
Waar is de wijn nu: koelkast</t>
  </si>
  <si>
    <t>2023-07-28 09:51:50</t>
  </si>
  <si>
    <t>https://www.vivino.com/wines/156917103</t>
  </si>
  <si>
    <t>https://images.vivino.com/labels/0qYdOxobS6-yjIFMuuuu8A.jpg</t>
  </si>
  <si>
    <t>Walter J.Oster</t>
  </si>
  <si>
    <t>Eiswein Spätburgunder Rosé</t>
  </si>
  <si>
    <t>Rheinhessen</t>
  </si>
  <si>
    <t>Germany</t>
  </si>
  <si>
    <t>Komt van: Duitsland, de Moezel 
Wanneer: Juli 2025
Waar is de wijn nu: J3</t>
  </si>
  <si>
    <t>2025-07-19 15:15:56</t>
  </si>
  <si>
    <t>https://www.vivino.com/wines/161280678</t>
  </si>
  <si>
    <t>https://images.vivino.com/labels/qzah58aNTz-kopRUkL5NZQ.jpg</t>
  </si>
  <si>
    <t>Riesling Beerenauslese</t>
  </si>
  <si>
    <t>Mosel</t>
  </si>
  <si>
    <t>de</t>
  </si>
  <si>
    <t>Komt van: Duitsland, de Moezel 
Wanneer: Juli 2025
Waar is de wijn nu: D4</t>
  </si>
  <si>
    <t>2025-07-19 15:19:43</t>
  </si>
  <si>
    <t>https://www.vivino.com/wines/181124234</t>
  </si>
  <si>
    <t>https://images.vivino.com/labels/qHZYN3KnQHOXSJeMoAeV-Q.jpg</t>
  </si>
  <si>
    <t>Arnoux &amp; Fils</t>
  </si>
  <si>
    <t>Domaine du Vieux Pigeonnier Muscat de Beaumes de Venise</t>
  </si>
  <si>
    <t>Fortified Wine</t>
  </si>
  <si>
    <t>Muscat de Beaumes de Venise</t>
  </si>
  <si>
    <t>Komt van: Nel 
Wanneer: April 2025
Waar is de wijn nu: A6</t>
  </si>
  <si>
    <t>2025-04-19 10:55:36</t>
  </si>
  <si>
    <t>https://www.vivino.com/wines/169504141</t>
  </si>
  <si>
    <t>https://images.vivino.com/labels/H2IEbj1lTsKExHa8R6xVAg.jpg</t>
  </si>
  <si>
    <t>Domaine de la Rectorie</t>
  </si>
  <si>
    <t>Cuvée Thérèse Reig Banyuls</t>
  </si>
  <si>
    <t>Banyuls</t>
  </si>
  <si>
    <t>French Languedoc-Roussillon Fortified</t>
  </si>
  <si>
    <t>Komt van: Henk en Riet
Wanneer: 2022
Lekker bij: dessert
Waar is de wijn nu: D3</t>
  </si>
  <si>
    <t>2023-07-28 09:50:58</t>
  </si>
  <si>
    <t>https://www.vivino.com/wines/153173832</t>
  </si>
  <si>
    <t>https://images.vivino.com/labels/XmeenCDQSaaNUNQeLl-Khg.jpg</t>
  </si>
  <si>
    <t>Domaine des Escaravailles</t>
  </si>
  <si>
    <t>Vin doux Naturel Rasteau Grenat</t>
  </si>
  <si>
    <t>Rasteau</t>
  </si>
  <si>
    <t>Komt van: Ockhuysen 
Wanneer: 2024
Waar is de wijn nu:
E3
J1
Dessertwijn</t>
  </si>
  <si>
    <t>2024-03-12 16:17:21</t>
  </si>
  <si>
    <t>https://www.vivino.com/wines/177231286</t>
  </si>
  <si>
    <t>https://images.vivino.com/labels/9OZTWdnFRtyEvPR1r3Gx7A.jpg</t>
  </si>
  <si>
    <t>Parcé Frères</t>
  </si>
  <si>
    <t>17 Ans d' Élevage Rivesaltes</t>
  </si>
  <si>
    <t>Rivesaltes</t>
  </si>
  <si>
    <t>Komt van: Ockhuysen 
Wanneer: 2020
Smaak: zoet
Lekker bij: dessert
Waar is de wijn nu: J10</t>
  </si>
  <si>
    <t>2023-07-28 12:14:35</t>
  </si>
  <si>
    <t>https://www.vivino.com/wines/162095175</t>
  </si>
  <si>
    <t>https://images.vivino.com/labels/X6FtYtUuSbGFK0v3kG2WaA.jpg</t>
  </si>
  <si>
    <t>Altavins</t>
  </si>
  <si>
    <t>Almodí Petit Tinto</t>
  </si>
  <si>
    <t>Red Wine</t>
  </si>
  <si>
    <t>Terra Alta</t>
  </si>
  <si>
    <t>Spanish Red</t>
  </si>
  <si>
    <t>Komt van: Ockhuysen 
Wanneer: ?
Smaak: stevig, droog 
Lekker bij: Rundvlees, Pasta, Gevogelte, Kalfsvlees
Waar is de wijn nu:</t>
  </si>
  <si>
    <t>2023-07-28 12:38:23</t>
  </si>
  <si>
    <t>https://www.vivino.com/wines/159972388</t>
  </si>
  <si>
    <t>https://images.vivino.com/labels/HJ73MdfiQM6JKrdpJzsmfQ.jpg</t>
  </si>
  <si>
    <t>Altos Ibéricos</t>
  </si>
  <si>
    <t>Crianza</t>
  </si>
  <si>
    <t>Rioja</t>
  </si>
  <si>
    <t>Spanish Rioja Red</t>
  </si>
  <si>
    <t>Komt van: Daan van Zijtveld 
Wanneer: November 2024
Waar is de wijn nu:
C2</t>
  </si>
  <si>
    <t>2024-11-16 14:27:56</t>
  </si>
  <si>
    <t>https://www.vivino.com/wines/159579395</t>
  </si>
  <si>
    <t>https://images.vivino.com/labels/T-xxZEdOQla0S7FLxJmmGA.jpg</t>
  </si>
  <si>
    <t>Alvear</t>
  </si>
  <si>
    <t>Palacio Quemado Crianza</t>
  </si>
  <si>
    <t>Ribera del Guadiana</t>
  </si>
  <si>
    <t>Komt van: Ockhuysen 
Wanneer: november 2023
Smaak: droog, stevig, maar is al wat ouder (2020)
Lekker bij: kalfsvlees, gevogelte, karbonade met champignonsaus, charcuterie 
Waar is de wijn nu: A2</t>
  </si>
  <si>
    <t>2023-11-03 10:46:38</t>
  </si>
  <si>
    <t>https://www.vivino.com/wines/165541671</t>
  </si>
  <si>
    <t>https://images.vivino.com/labels/qT7WGpFQQSWhBbmhBzwXbw.jpg</t>
  </si>
  <si>
    <t>Antiche Terre Venete</t>
  </si>
  <si>
    <t>Valpolicella Ripasso Superiore</t>
  </si>
  <si>
    <t>Valpolicella Ripasso</t>
  </si>
  <si>
    <t>Italy</t>
  </si>
  <si>
    <t>Italian Ripasso</t>
  </si>
  <si>
    <t>Vol, zacht en rond. Heerlijk bij runderstoof.</t>
  </si>
  <si>
    <t>Komt van: Phillip 
Wanneer: 2019
Smaak: stevig, rond 
Lekker bij: rundvlees, kalfsvlees 
Waar is de wijn nu: 2</t>
  </si>
  <si>
    <t>2023-07-28 12:11:41</t>
  </si>
  <si>
    <t>https://www.vivino.com/wines/142250222</t>
  </si>
  <si>
    <t>https://images.vivino.com/labels/4DGR2Im_SwO6-aHbtvXo-w.jpg</t>
  </si>
  <si>
    <t>Birgit Braunstein</t>
  </si>
  <si>
    <t>Blaufränkisch Heide</t>
  </si>
  <si>
    <t>Burgenland</t>
  </si>
  <si>
    <t>Austria</t>
  </si>
  <si>
    <t>Austrian Blaufränkisch</t>
  </si>
  <si>
    <t>Komt van: Ockhuysen 
Wanneer: 2021
Smaak: stevig, droog 
Lekker bij: rundvlees, pasta, gevogelte 
Waar is de wijn nu: 1d</t>
  </si>
  <si>
    <t>2023-07-28 12:45:34</t>
  </si>
  <si>
    <t>https://www.vivino.com/wines/161819422</t>
  </si>
  <si>
    <t>https://images.vivino.com/labels/rguKEGCCS-2wa-_4raqoFQ.jpg</t>
  </si>
  <si>
    <t>Cantina Valpantena</t>
  </si>
  <si>
    <t>Torre del Falasco Bardolino</t>
  </si>
  <si>
    <t>Bardolino</t>
  </si>
  <si>
    <t>Northern Italy Red</t>
  </si>
  <si>
    <t>Komt van: Teun gekregen van All Bikes
Wanneer: 2023
Smaak: redelijk standaard
Waar is de wijn nu: H1</t>
  </si>
  <si>
    <t>2023-12-16 16:41:30</t>
  </si>
  <si>
    <t>https://www.vivino.com/wines/160288418</t>
  </si>
  <si>
    <t>https://images.vivino.com/labels/pxK_GSRqTUOvmKN7W8WdlQ.jpg</t>
  </si>
  <si>
    <t>2023-12-16 16:41:04</t>
  </si>
  <si>
    <t>https://www.vivino.com/wines/167497514</t>
  </si>
  <si>
    <t>https://images.vivino.com/labels/Vj8ZCHC0Ssm05wX7Os9JDA.jpg</t>
  </si>
  <si>
    <t>Casa Marin</t>
  </si>
  <si>
    <t>Mar y Luz Carmenere</t>
  </si>
  <si>
    <t>Colchagua Valley</t>
  </si>
  <si>
    <t>Chile</t>
  </si>
  <si>
    <t>Chilean Carménère</t>
  </si>
  <si>
    <t>Zeer kruidige wijn. Ruikt heerlijk, smaakt heel goed. 
Kan goed bij kruidig eten.</t>
  </si>
  <si>
    <t>Komt van: Ockhuysen 
Wanneer: Juli 2024 en Oktober 2025
Waar is de wijn nu: 
Doos 3: 6</t>
  </si>
  <si>
    <t>2024-05-19 08:10:45</t>
  </si>
  <si>
    <t>https://www.vivino.com/wines/156361842</t>
  </si>
  <si>
    <t>https://images.vivino.com/labels/tWEpFfDBQRWAqUoyFsn9-g.jpg</t>
  </si>
  <si>
    <t>Château Grand Corbin Manuel</t>
  </si>
  <si>
    <t>Saint-Émilion Grand Cru</t>
  </si>
  <si>
    <t>Bordeaux Saint-Émilion</t>
  </si>
  <si>
    <t>Komt van: Phillip 
Wanneer: Nov 2023
Smaak: Stevig en droog, maar inmiddels 7 jaar oud dus minder tannines 
Lekker bij: lam, rundvlees, gevogelte 
Waar is de wijn nu: F1</t>
  </si>
  <si>
    <t>2023-11-05 17:38:23</t>
  </si>
  <si>
    <t>https://www.vivino.com/wines/143590134</t>
  </si>
  <si>
    <t>https://images.vivino.com/labels/y-Ji26_nT3iK6TvMp5kzLw.jpg</t>
  </si>
  <si>
    <t>Château Guillemin La Gaffelière</t>
  </si>
  <si>
    <t>Komt van: Philip en Janny 
Wanneer: November 2024
Waar is de wijn nu:</t>
  </si>
  <si>
    <t>2024-11-16 16:52:15</t>
  </si>
  <si>
    <t>https://www.vivino.com/wines/141594911</t>
  </si>
  <si>
    <t>https://images.vivino.com/labels/lPuF2eJYRQ69Tp7DhqyUoA.jpg</t>
  </si>
  <si>
    <t>Château La Grâce Dieu</t>
  </si>
  <si>
    <t>In 2025 gedronken dus 10 jaar oud. Perfect op dronk, volle, zachte wijn, heerlijk bij een rundvlees stoofschotel.</t>
  </si>
  <si>
    <t>Komt van: Philip
Wanneer: December 2023
Waar is de wijn nu:</t>
  </si>
  <si>
    <t>2023-12-05 17:34:06</t>
  </si>
  <si>
    <t>https://www.vivino.com/wines/142124211</t>
  </si>
  <si>
    <t>https://images.vivino.com/labels/2PWfN2wcRAqMY3_2qzWgRg.jpg</t>
  </si>
  <si>
    <t>2025-11-22 11:05:20</t>
  </si>
  <si>
    <t>Château Malagar</t>
  </si>
  <si>
    <t>Premières Côtes de Bordeaux Rouge</t>
  </si>
  <si>
    <t>Premières Côtes de Bordeaux</t>
  </si>
  <si>
    <t>Bordeaux Red</t>
  </si>
  <si>
    <t>Komt van: Auchan
Wanneer: ?
Smaak: redelijk droog (beoordeling van 2019)
Lekker bij: rundvlees, gevogelte, kalfsvlees
Waar is de wijn nu:</t>
  </si>
  <si>
    <t>2023-07-28 11:41:07</t>
  </si>
  <si>
    <t>https://www.vivino.com/wines/116974010</t>
  </si>
  <si>
    <t>https://images.vivino.com/labels/CqHZMFGZSZGAszOXdFwYlQ.jpg</t>
  </si>
  <si>
    <t>Château Millaud Montlabert</t>
  </si>
  <si>
    <t>Van: Philip en Janny
Wanneer: December 2025
Waar is de wijn nu: A4</t>
  </si>
  <si>
    <t>2025-12-22 17:40:31</t>
  </si>
  <si>
    <t>https://www.vivino.com/wines/162333616</t>
  </si>
  <si>
    <t>https://images.vivino.com/labels/L3WfGBM1R7irz1fiNZWLuA.jpg</t>
  </si>
  <si>
    <t>Château Saint-Jacques</t>
  </si>
  <si>
    <t>Pomerol</t>
  </si>
  <si>
    <t>Bordeaux Pomerol</t>
  </si>
  <si>
    <t>Komt van: Philip en Janny
Wanneer: ?
Smaak: zacht, rond
Lekker bij: lam, rundvlees, gevogelte 
Waar is de wijn nu: G1</t>
  </si>
  <si>
    <t>2023-07-28 11:44:10</t>
  </si>
  <si>
    <t>https://www.vivino.com/wines/10749496</t>
  </si>
  <si>
    <t>https://images.vivino.com/labels/hCfWVvvoRnag3FuEPK7fKQ.jpg</t>
  </si>
  <si>
    <t>Château de Fontenille</t>
  </si>
  <si>
    <t>La Coucoute Cabernet Franc</t>
  </si>
  <si>
    <t>Bordeaux</t>
  </si>
  <si>
    <t>2024-10-25 17:55:32</t>
  </si>
  <si>
    <t>https://www.vivino.com/wines/177241441</t>
  </si>
  <si>
    <t>https://images.vivino.com/labels/giv2x1ZpRGKGQAtmLIX-vw.jpg</t>
  </si>
  <si>
    <t>Ciù Ciù</t>
  </si>
  <si>
    <t>Rosso Piceno Superiore Gotico</t>
  </si>
  <si>
    <t>Rosso Piceno</t>
  </si>
  <si>
    <t>Central Italy Red</t>
  </si>
  <si>
    <t>Komt van: Philip en Janny 
Wanneer: December 2024
Waar is de wijn nu:
H1</t>
  </si>
  <si>
    <t>2024-12-22 18:24:50</t>
  </si>
  <si>
    <t>https://www.vivino.com/wines/156813317</t>
  </si>
  <si>
    <t>https://images.vivino.com/labels/T8X_Z_G0T3-56SyVIwA0Tg.jpg</t>
  </si>
  <si>
    <t>Conti di Buscareto</t>
  </si>
  <si>
    <t>Compagnia</t>
  </si>
  <si>
    <t>Lacrima di Morro d'Alba</t>
  </si>
  <si>
    <t>Komt van: Ockhuysen 
Wanneer: ?
Smaak: droog 
Lekker bij: rundvlees, gevogelte, pasta 
Waar is de wijn nu: 3</t>
  </si>
  <si>
    <t>2023-07-28 12:22:33</t>
  </si>
  <si>
    <t>https://www.vivino.com/wines/160204189</t>
  </si>
  <si>
    <t>https://images.vivino.com/labels/P_0tGURdRoqDLmA2CpHdVw.jpg</t>
  </si>
  <si>
    <t>Domaine Fournier Père et Fils</t>
  </si>
  <si>
    <t>Mmm... Pinot Noir Rouge</t>
  </si>
  <si>
    <t>Vin de France</t>
  </si>
  <si>
    <t>French Red</t>
  </si>
  <si>
    <t>2024-09-18 18:49:26</t>
  </si>
  <si>
    <t>https://www.vivino.com/wines/173985511</t>
  </si>
  <si>
    <t>https://images.vivino.com/labels/oJ8mvMLWTsi4_k1Gpd7xjg.jpg</t>
  </si>
  <si>
    <t>Domaine de la Jasse</t>
  </si>
  <si>
    <t>Tête de Cuvée Rouge</t>
  </si>
  <si>
    <t>Pays d'Oc</t>
  </si>
  <si>
    <t>Languedoc-Roussillon Red</t>
  </si>
  <si>
    <t>Komt van: ?
Wanneer: ?
Smaak: rond, stevig 
Lekker bij: rundvlees, pasta, kalfsvlees 
Waar is de wijn nu:</t>
  </si>
  <si>
    <t>2023-07-28 12:24:31</t>
  </si>
  <si>
    <t>https://www.vivino.com/wines/63264505</t>
  </si>
  <si>
    <t>https://images.vivino.com/labels/2hVyurb2T1qJzXZvQqvDNw.jpg</t>
  </si>
  <si>
    <t>Domaine de la Mordorée</t>
  </si>
  <si>
    <t>La Reine Des Bois Lirac</t>
  </si>
  <si>
    <t>Lirac</t>
  </si>
  <si>
    <t>Southern Rhône Red</t>
  </si>
  <si>
    <t>Van: Ockhuysen 
Wanneer: April 2026
Waar is de wijn nu: 
Koelkast: 0
J8</t>
  </si>
  <si>
    <t>2026-04-30 15:34:15</t>
  </si>
  <si>
    <t>https://www.vivino.com/wines/174509502</t>
  </si>
  <si>
    <t>https://images.vivino.com/labels/3IXbbjDkTp2FFJ07MlOj1Q.jpg</t>
  </si>
  <si>
    <t>Domaine du Salut</t>
  </si>
  <si>
    <t>Graves Rouge</t>
  </si>
  <si>
    <t>Graves</t>
  </si>
  <si>
    <t>Bordeaux Graves Red</t>
  </si>
  <si>
    <t>2024-09-18 18:23:05</t>
  </si>
  <si>
    <t>https://www.vivino.com/wines/171134422</t>
  </si>
  <si>
    <t>https://images.vivino.com/labels/U6hMBLaiQYO4dQlvCGjnYw.jpg</t>
  </si>
  <si>
    <t>Dominio de Bornos</t>
  </si>
  <si>
    <t>Lagar de Bornos Crianza</t>
  </si>
  <si>
    <t>Komt van: Ockhuysen 
Wanneer: Oktober 2024
Waar is de wijn nu: 
F3
G3</t>
  </si>
  <si>
    <t>2024-10-25 16:28:44</t>
  </si>
  <si>
    <t>https://www.vivino.com/wines/166566091</t>
  </si>
  <si>
    <t>https://images.vivino.com/labels/PjE7q_WTSb-gxSyiWR0CqA.jpg</t>
  </si>
  <si>
    <t>Emile Durand</t>
  </si>
  <si>
    <t>Bourgogne Pinot Noir</t>
  </si>
  <si>
    <t>Bourgogne</t>
  </si>
  <si>
    <t>Burgundy Red</t>
  </si>
  <si>
    <t>2024-09-16 20:27:58</t>
  </si>
  <si>
    <t>https://www.vivino.com/wines/175262331</t>
  </si>
  <si>
    <t>https://images.vivino.com/labels/uVPf99J2RbyCUyL4hkmQGw.jpg</t>
  </si>
  <si>
    <t>2024-09-16 20:28:42</t>
  </si>
  <si>
    <t>Famille Berrouet</t>
  </si>
  <si>
    <t>Vieux Château Saint André Montagne-Saint-Émilion</t>
  </si>
  <si>
    <t>Montagne-Saint-Émilion</t>
  </si>
  <si>
    <t>Van: Ockhuysen
Wanneer: Oktober 2025
Waar is de wijn nu: 
E12
F12</t>
  </si>
  <si>
    <t>2025-11-08 10:48:00</t>
  </si>
  <si>
    <t>https://www.vivino.com/wines/171520909</t>
  </si>
  <si>
    <t>https://images.vivino.com/labels/Tet-FNywQfOhVeTOvxTCiw.jpg</t>
  </si>
  <si>
    <t>2025-11-08 10:47:44</t>
  </si>
  <si>
    <t>https://images.vivino.com/labels/f49Aq2WnQyOQhoIOzonZew.jpg</t>
  </si>
  <si>
    <t>Huguet de Can Feixes</t>
  </si>
  <si>
    <t>Negre Selecció</t>
  </si>
  <si>
    <t>Penedès</t>
  </si>
  <si>
    <t>Spanish Tempranillo</t>
  </si>
  <si>
    <t>Komt van: Ockhuysen 
Wanneer: november 2023
Smaak: droog, stevig maar is al 3 jaar oud
Lekker bij: lam, rundvlees, kalfsvlees, gevogelte
Waar is de wijn nu: I4 - J4</t>
  </si>
  <si>
    <t>2023-11-03 10:46:43</t>
  </si>
  <si>
    <t>https://www.vivino.com/wines/163760463</t>
  </si>
  <si>
    <t>https://images.vivino.com/labels/tt6nCugtQdKjFCh8aheqgQ.jpg</t>
  </si>
  <si>
    <t>Negre Tradició</t>
  </si>
  <si>
    <t>Van: Ockhuysen
Wanneer: Oktober 2025
Waar is de wijn nu: 
H8
I8</t>
  </si>
  <si>
    <t>2025-11-08 10:45:05</t>
  </si>
  <si>
    <t>https://www.vivino.com/wines/172343342</t>
  </si>
  <si>
    <t>https://images.vivino.com/labels/GpXK-0dvR5CjCZwUGj7akA.jpg</t>
  </si>
  <si>
    <t>Indomita</t>
  </si>
  <si>
    <t>Gran Reserva Cabernet Sauvignon</t>
  </si>
  <si>
    <t>Maipo Valley</t>
  </si>
  <si>
    <t>Chilean Cabernet Sauvignon</t>
  </si>
  <si>
    <t>Komt van: Moeders
Wanneer: ?
Smaak: stevig, droog
Lekker bij: rundvlees, gevogelte, lamsvlees 
Waar is de wijn nu: G2</t>
  </si>
  <si>
    <t>2023-07-28 11:55:12</t>
  </si>
  <si>
    <t>https://www.vivino.com/wines/162909941</t>
  </si>
  <si>
    <t>https://images.vivino.com/labels/aL7Cu6QBSimh-TCJxj_YEw.jpg</t>
  </si>
  <si>
    <t>Kruger Family Wines</t>
  </si>
  <si>
    <t>Pearly Gates Pinot Noir</t>
  </si>
  <si>
    <t>Upper Hemel-en-Aarde Valley</t>
  </si>
  <si>
    <t>South Africa</t>
  </si>
  <si>
    <t>South African Pinot Noir</t>
  </si>
  <si>
    <t>Komt van: Ockhuysen 
Wanneer: Oktober 2024
Waar is de wijn nu: 
i2
J2</t>
  </si>
  <si>
    <t>2024-10-25 16:24:14</t>
  </si>
  <si>
    <t>https://www.vivino.com/wines/170483580</t>
  </si>
  <si>
    <t>https://images.vivino.com/labels/L04CAXvhRGyKZqkuVG4B6w.jpg</t>
  </si>
  <si>
    <t>L'Orangeraie</t>
  </si>
  <si>
    <t>Merlot</t>
  </si>
  <si>
    <t>Languedoc-Roussillon</t>
  </si>
  <si>
    <t>Komt van: Ockhuysen 
Wanneer: november 2023
Smaak: stevig, droog, fris, tannines
—&gt;TOT MINIMAAL 2025 LATEN LIGGEN. Mag ook eerder maar dan rekening houden met droge wijn. 
Lekker bij: rundvlees stoofpot, pasta, dumplings
Waar is de wijn nu: H12 - I12 - J12</t>
  </si>
  <si>
    <t>2023-11-03 10:45:49</t>
  </si>
  <si>
    <t>https://www.vivino.com/wines/174329264</t>
  </si>
  <si>
    <t>https://images.vivino.com/labels/xqCBjUUzRQ6j4SukvcxhFg.jpg</t>
  </si>
  <si>
    <t>2025-11-08 11:41:23</t>
  </si>
  <si>
    <t>La Petite Chapelle</t>
  </si>
  <si>
    <t>Bordeaux Rouge</t>
  </si>
  <si>
    <t>Komt van: Lille
Wanneer: 2022
Smaak: droog
Lekker bij: rundvlees, gevogelte, kalfsvlees 
Waar is de wijn nu: B1</t>
  </si>
  <si>
    <t>2023-07-28 12:35:51</t>
  </si>
  <si>
    <t>https://www.vivino.com/wines/161443427</t>
  </si>
  <si>
    <t>https://images.vivino.com/labels/4pumVRVkTru68IBzXCFyjw.jpg</t>
  </si>
  <si>
    <t>Lidl</t>
  </si>
  <si>
    <t>Cour Saint Liénard Saint-Émilion Grand Cru</t>
  </si>
  <si>
    <t>Komt van: Nel
Wanneer: 2023
Waar is de wijn nu:</t>
  </si>
  <si>
    <t>2023-12-19 12:03:17</t>
  </si>
  <si>
    <t>https://www.vivino.com/wines/172899856</t>
  </si>
  <si>
    <t>https://images.vivino.com/labels/CVDUMqiFRgy4ldIVkP713w.jpg</t>
  </si>
  <si>
    <t>Luigi Righetti</t>
  </si>
  <si>
    <t>Capitel de Roari Amarone della Valpolicella Classico</t>
  </si>
  <si>
    <t>Amarone della Valpolicella Classico</t>
  </si>
  <si>
    <t>Italian Amarone</t>
  </si>
  <si>
    <t>2025-09-30 18:44:16</t>
  </si>
  <si>
    <t>https://www.vivino.com/wines/156604473</t>
  </si>
  <si>
    <t>https://images.vivino.com/labels/51JS26k_SsWGgpZ7VY1e4w.jpg</t>
  </si>
  <si>
    <t>2025-09-30 18:44:50</t>
  </si>
  <si>
    <t>Marosso</t>
  </si>
  <si>
    <t>Appassimento</t>
  </si>
  <si>
    <t>Puglia</t>
  </si>
  <si>
    <t>Southern Italy Red</t>
  </si>
  <si>
    <t>2024-09-06 17:05:36</t>
  </si>
  <si>
    <t>https://www.vivino.com/wines/177213851</t>
  </si>
  <si>
    <t>https://images.vivino.com/labels/uvV_kJomT_ykW1WbdHMw8Q.jpg</t>
  </si>
  <si>
    <t>Martin Waßmer</t>
  </si>
  <si>
    <t>Spätburgunder (Markgräflerland)</t>
  </si>
  <si>
    <t>Baden</t>
  </si>
  <si>
    <t>German Spätburgunder</t>
  </si>
  <si>
    <t>Komt van: Daan (Taska)
Wanneer: 2024
Waar is de wijn nu: F2</t>
  </si>
  <si>
    <t>2024-02-14 15:05:03</t>
  </si>
  <si>
    <t>https://www.vivino.com/wines/163464859</t>
  </si>
  <si>
    <t>https://images.vivino.com/labels/FE98R4X1QRSt6LHeO-IDSA.jpg</t>
  </si>
  <si>
    <t>Massimago</t>
  </si>
  <si>
    <t>Conte Gastone Amarone della Valpolicella</t>
  </si>
  <si>
    <t>Amarone della Valpolicella</t>
  </si>
  <si>
    <t>2025-11-01 19:16:13</t>
  </si>
  <si>
    <t>https://www.vivino.com/wines/163144008</t>
  </si>
  <si>
    <t>https://images.vivino.com/labels/YD1c8wfYRCW7daMTZcMLow.jpg</t>
  </si>
  <si>
    <t>Melini</t>
  </si>
  <si>
    <t>Chianti Pian Del Masso</t>
  </si>
  <si>
    <t>Chianti</t>
  </si>
  <si>
    <t>Italian Chianti</t>
  </si>
  <si>
    <t>Van: Ed &amp; Oksana
Wanneer: Oktober 2025
Waar: Almere, maar de wijn komt uit Toscane
Waar is de wijn nu: B4</t>
  </si>
  <si>
    <t>2025-10-11 10:22:40</t>
  </si>
  <si>
    <t>https://www.vivino.com/wines/2041821</t>
  </si>
  <si>
    <t>https://images.vivino.com/labels/oAsGIJBDT1CUq8GmhIKrnw.jpg</t>
  </si>
  <si>
    <t>Monsaraz</t>
  </si>
  <si>
    <t>Alentejo Reserva</t>
  </si>
  <si>
    <t>Alentejo</t>
  </si>
  <si>
    <t>Portugal</t>
  </si>
  <si>
    <t>Portuguese Alentejo Red</t>
  </si>
  <si>
    <t>Komt van: Nel
Wanneer: 2022
Smaak: stevig, droog
Lekker bij: lam, rundvlees, gevogelte 
Waar is de wijn nu:</t>
  </si>
  <si>
    <t>2023-07-28 12:17:58</t>
  </si>
  <si>
    <t>https://www.vivino.com/wines/164369100</t>
  </si>
  <si>
    <t>https://images.vivino.com/labels/Sj7aqsypTmO4A-3TTrsL9w.jpg</t>
  </si>
  <si>
    <t>Montlobre</t>
  </si>
  <si>
    <t>La Chapelle Vieilles Vignes Cuvaison Longue</t>
  </si>
  <si>
    <t>Komt van: Henk en Riet
Wanneer: ?
Smaak: droog, rond
Lekker bij: rundvlees, pasta, kalfsvlees
Waar is de wijn nu: 2</t>
  </si>
  <si>
    <t>2023-07-28 11:46:52</t>
  </si>
  <si>
    <t>https://www.vivino.com/wines/10921707</t>
  </si>
  <si>
    <t>https://images.vivino.com/labels/tuA2DmLFTKKo9sVMT9v-0Q.jpg</t>
  </si>
  <si>
    <t>Moulin de Gassac</t>
  </si>
  <si>
    <t>Elise</t>
  </si>
  <si>
    <t>Hérault</t>
  </si>
  <si>
    <t>Komt van: Ockhuysen 
Wanneer: 2020
Smaak: stevig, droog 
Lekker bij: Rundvlees, Pasta, Kalfsvlees
Waar is de wijn nu:</t>
  </si>
  <si>
    <t>2023-07-28 12:42:21</t>
  </si>
  <si>
    <t>https://www.vivino.com/wines/160111939</t>
  </si>
  <si>
    <t>https://images.vivino.com/labels/DDcdqUbnQ3WZh9jpoQp2RQ.jpg</t>
  </si>
  <si>
    <t>Notte Rossa</t>
  </si>
  <si>
    <t>Primitivo Salento</t>
  </si>
  <si>
    <t>Salento</t>
  </si>
  <si>
    <t>Southern Italy Primitivo</t>
  </si>
  <si>
    <t>2024-08-07 17:25:21</t>
  </si>
  <si>
    <t>https://www.vivino.com/wines/163087081</t>
  </si>
  <si>
    <t>https://images.vivino.com/labels/LikeejfWRtSuJ95AjiZW9g.jpg</t>
  </si>
  <si>
    <t>2024-08-07 17:26:17</t>
  </si>
  <si>
    <t>Palazzo Maffei</t>
  </si>
  <si>
    <t>Valpolicella</t>
  </si>
  <si>
    <t>Italian Valpolicella Red</t>
  </si>
  <si>
    <t>Komt van: Ockhuysen 
Wanneer: 2020
Smaak: droog, rond
Lekker bij: rundvlees, pasta, gevogelte, kalfsvlees 
Waar is de wijn nu:</t>
  </si>
  <si>
    <t>2023-07-28 12:08:49</t>
  </si>
  <si>
    <t>https://www.vivino.com/wines/156309491</t>
  </si>
  <si>
    <t>https://images.vivino.com/labels/wdk7OHjWQEyP20nS7n30ew.jpg</t>
  </si>
  <si>
    <t>Komt van: Ockhuysen 
Wanneer: Oktober 2024
Waar is de wijn nu: 
A4</t>
  </si>
  <si>
    <t>2024-10-25 16:32:44</t>
  </si>
  <si>
    <t>https://www.vivino.com/wines/164133285</t>
  </si>
  <si>
    <t>https://images.vivino.com/labels/XC8vXyaBQ_Sp0Fx9g_876Q.jpg</t>
  </si>
  <si>
    <t>Komt van: Ockhuysen 
Wanneer: 2022
Smaak: stevig, rond 
Lekker bij: rundvlees, kalfsvlees, wild
Waar is de wijn nu: A1</t>
  </si>
  <si>
    <t>2023-07-28 12:51:35</t>
  </si>
  <si>
    <t>https://www.vivino.com/wines/160171490</t>
  </si>
  <si>
    <t>https://images.vivino.com/labels/geSir7Z6TYaEyz-o2A4HsQ.jpg</t>
  </si>
  <si>
    <t>Perceval Pascal</t>
  </si>
  <si>
    <t>Pinot</t>
  </si>
  <si>
    <t>Vin de Savoie</t>
  </si>
  <si>
    <t>French Savoie Red</t>
  </si>
  <si>
    <t>Komt van: Auchan
Wanneer: ?
Smaak: rond, fris
Lekker bij: varkensvlees, gevogelte, kalfsvlees
Waar is de wijn nu:</t>
  </si>
  <si>
    <t>2023-07-28 11:51:03</t>
  </si>
  <si>
    <t>https://www.vivino.com/wines/166730528</t>
  </si>
  <si>
    <t>https://images.vivino.com/labels/4pMcBuSzSoaflEN-C6lpkg.jpg</t>
  </si>
  <si>
    <t>Pierre Bourée Fils</t>
  </si>
  <si>
    <t>Fixin La Croix Blanche</t>
  </si>
  <si>
    <t>Fixin</t>
  </si>
  <si>
    <t>Burgundy Côte de Nuits Red</t>
  </si>
  <si>
    <t>Ongelooflijk, wat een wijn. Ruikt enorm kruidig en de smaak beloont die geur. Heel bijzonder en erg lekker!</t>
  </si>
  <si>
    <t>2024-06-18 17:45:28</t>
  </si>
  <si>
    <t>https://www.vivino.com/wines/155355271</t>
  </si>
  <si>
    <t>https://images.vivino.com/labels/PH_szYHLTyq-IZk9grqK7Q.jpg</t>
  </si>
  <si>
    <t>2024-06-27 12:37:37</t>
  </si>
  <si>
    <t>Quinta do Tedo</t>
  </si>
  <si>
    <t>Douro Reserva</t>
  </si>
  <si>
    <t>Douro</t>
  </si>
  <si>
    <t>Portuguese Douro Red</t>
  </si>
  <si>
    <t>Komt van: Ockhuysen 
Wanneer: november 2023
Smaak: stevig, droog 
Lekker bij: lam, rundvlees, pasta, wild, cottage pie 
Waar is de wijn nu:</t>
  </si>
  <si>
    <t>2023-11-03 10:46:14</t>
  </si>
  <si>
    <t>https://www.vivino.com/wines/162376277</t>
  </si>
  <si>
    <t>https://images.vivino.com/labels/P3gcqqE8T3uCdxkWjLEicg.jpg</t>
  </si>
  <si>
    <t>Ronco di Sassi</t>
  </si>
  <si>
    <t>Primitivo Appassimento</t>
  </si>
  <si>
    <t>Komt van: Philip 
Wanneer: ?
Smaak: stevig, rond 
Lekker bij: lam, rundvlees, pasta, gevogelte 
Waar is de wijn nu: 3</t>
  </si>
  <si>
    <t>2023-07-28 12:29:37</t>
  </si>
  <si>
    <t>https://www.vivino.com/wines/159479658</t>
  </si>
  <si>
    <t>https://images.vivino.com/labels/3uwASjCGTgSGiewXM6u6UQ.jpg</t>
  </si>
  <si>
    <t>St. Martinus</t>
  </si>
  <si>
    <t>Olivier</t>
  </si>
  <si>
    <t>Limburg</t>
  </si>
  <si>
    <t>Netherlands</t>
  </si>
  <si>
    <t>Komt van: Wijndomein St. Martinus
Wanneer: 2024
Waar is de wijn nu: E7</t>
  </si>
  <si>
    <t>2024-07-20 13:51:45</t>
  </si>
  <si>
    <t>https://www.vivino.com/wines/160403084</t>
  </si>
  <si>
    <t>https://images.vivino.com/labels/RDgxFJRySiK66DPzdhoNmw.jpg</t>
  </si>
  <si>
    <t>Tenuta Castelbuono</t>
  </si>
  <si>
    <t>Lampante Montefalco Rosso Riserva</t>
  </si>
  <si>
    <t>Montefalco</t>
  </si>
  <si>
    <t>Komt van: Edmondo en Oksana
Wanneer: Januari 2025
Waar is de wijn nu:
E1</t>
  </si>
  <si>
    <t>2025-01-25 20:25:08</t>
  </si>
  <si>
    <t>https://www.vivino.com/wines/166801412</t>
  </si>
  <si>
    <t>https://images.vivino.com/labels/0fvi1brVRW-VIrFjtwdwKw.jpg</t>
  </si>
  <si>
    <t>Toresanas</t>
  </si>
  <si>
    <t>Orot Roble</t>
  </si>
  <si>
    <t>Toro</t>
  </si>
  <si>
    <t>Spanish Toro Red</t>
  </si>
  <si>
    <t>Komt van: Ockhuysen 
Wanneer: Oktober 2024
Waar is de wijn nu:
H3
i3</t>
  </si>
  <si>
    <t>2024-10-25 16:30:33</t>
  </si>
  <si>
    <t>https://www.vivino.com/wines/172012227</t>
  </si>
  <si>
    <t>https://images.vivino.com/labels/XzbSquQZTL60QpAXuH4NTw.jpg</t>
  </si>
  <si>
    <t>Torre Raone</t>
  </si>
  <si>
    <t>San Zopito Terre dei Vestini Montepulciano d'Abruzzo</t>
  </si>
  <si>
    <t>Montepulciano d'Abruzzo</t>
  </si>
  <si>
    <t>Italian Montepulciano d'Abruzzo</t>
  </si>
  <si>
    <t>Komt van: Ockhuysen 
Wanneer: Oktober 2024
Waar is de wijn nu:
D4</t>
  </si>
  <si>
    <t>2024-10-25 16:34:44</t>
  </si>
  <si>
    <t>https://www.vivino.com/wines/151525792</t>
  </si>
  <si>
    <t>https://images.vivino.com/labels/3xrU3gUMRbe6bWciIcbNPQ.jpg</t>
  </si>
  <si>
    <t>2025-04-25 16:24:26</t>
  </si>
  <si>
    <t>Valdemonjas</t>
  </si>
  <si>
    <t>Los Tres Dones</t>
  </si>
  <si>
    <t>Ribera del Duero</t>
  </si>
  <si>
    <t>Spanish Ribera Del Duero Red</t>
  </si>
  <si>
    <t>Komt van: KL team
Wanneer: Mei 2024 (afscheidsfeestje)
Waar is de wijn nu: I1</t>
  </si>
  <si>
    <t>2024-05-16 11:35:27</t>
  </si>
  <si>
    <t>https://www.vivino.com/wines/169884150</t>
  </si>
  <si>
    <t>https://images.vivino.com/labels/sLXEwvUSSpaKNd1GLa_VJw.jpg</t>
  </si>
  <si>
    <t>Vilafonté</t>
  </si>
  <si>
    <t>Seriously Old Dirt</t>
  </si>
  <si>
    <t>Paarl</t>
  </si>
  <si>
    <t>South African Bordeaux Blend</t>
  </si>
  <si>
    <t>Komt van: KL team
Wanneer: Mei 2024 (afscheidsfeestje)
Waar is de wijn nu: B2</t>
  </si>
  <si>
    <t>2024-05-16 11:38:41</t>
  </si>
  <si>
    <t>https://www.vivino.com/wines/163339945</t>
  </si>
  <si>
    <t>https://images.vivino.com/labels/NVm9s6AyTguzgfpb90muzA.jpg</t>
  </si>
  <si>
    <t>Zeni</t>
  </si>
  <si>
    <t>Marogne Valpolicella Ripasso Superiore</t>
  </si>
  <si>
    <t>2024-02-08 15:27:03</t>
  </si>
  <si>
    <t>https://www.vivino.com/wines/164131281</t>
  </si>
  <si>
    <t>https://images.vivino.com/labels/dLDXUi8bTH2XQLYLHeFnvw.jpg</t>
  </si>
  <si>
    <t>Saveurs d'été Pinot Noir Rosé</t>
  </si>
  <si>
    <t>Rosé Wine</t>
  </si>
  <si>
    <t>French Rosé</t>
  </si>
  <si>
    <t>Komt van: Saint-Hippolyte, Frankrijk 
Wanneer: 2023
Smaak: droog
Lekker bij: vegetarisch, vis, kaas, kip
Waar is de wijn nu: C6 
Koelkast: 1</t>
  </si>
  <si>
    <t>2023-07-28 16:48:21</t>
  </si>
  <si>
    <t>https://www.vivino.com/wines/174914194</t>
  </si>
  <si>
    <t>https://images.vivino.com/labels/zsf4RAmgQXm7cupEhok_7A.jpg</t>
  </si>
  <si>
    <t>Bleu Blanc Thau</t>
  </si>
  <si>
    <t>Rosé</t>
  </si>
  <si>
    <t>Côtes de Thau</t>
  </si>
  <si>
    <t>Languedoc-Roussillon Rosé</t>
  </si>
  <si>
    <t>2025-05-11 19:55:51</t>
  </si>
  <si>
    <t>https://www.vivino.com/wines/166414208</t>
  </si>
  <si>
    <t>https://images.vivino.com/labels/z13AhVJcT_m6EOX0QjOulQ.jpg</t>
  </si>
  <si>
    <t>Château La Coste</t>
  </si>
  <si>
    <t>Grand Vin Rosé</t>
  </si>
  <si>
    <t>Provence</t>
  </si>
  <si>
    <t>Provence Rosé</t>
  </si>
  <si>
    <t>Komt van: Daan (Provence)
Wanneer: Augustus 2024
Waar is de wijn nu:</t>
  </si>
  <si>
    <t>2024-08-11 12:39:59</t>
  </si>
  <si>
    <t>https://www.vivino.com/wines/177211780</t>
  </si>
  <si>
    <t>https://images.vivino.com/labels/EIqKI2F9T5Grwx89RfjKLQ.jpg</t>
  </si>
  <si>
    <t>Château Turcaud</t>
  </si>
  <si>
    <t>Bordeaux Clairet</t>
  </si>
  <si>
    <t>French Bordeaux Rosé</t>
  </si>
  <si>
    <t>Komt van: Ockhuysen 
Wanneer: november 2023
Smaak: droog, fris
Lekker bij: gevogelte, vis, aperitief, lasagne
Waar is de wijn nu: C8 - D8</t>
  </si>
  <si>
    <t>2023-11-03 10:46:24</t>
  </si>
  <si>
    <t>https://www.vivino.com/wines/159193429</t>
  </si>
  <si>
    <t>https://images.vivino.com/labels/xKSvInAjR8WW6KdVTVfVuA.jpg</t>
  </si>
  <si>
    <t>La Reine des Bois Tavel Rosé</t>
  </si>
  <si>
    <t>Tavel</t>
  </si>
  <si>
    <t>Southern Rhône Rosé</t>
  </si>
  <si>
    <t>Van: Ockhuysen 
Wanneer: April 2026
Waar is de wijn nu: 
Koelkast: 0
E11, F11</t>
  </si>
  <si>
    <t>2026-04-30 15:20:08</t>
  </si>
  <si>
    <t>https://www.vivino.com/wines/180260571</t>
  </si>
  <si>
    <t>https://images.vivino.com/labels/MbY0Ja3bT62S1xnDj0rVpQ.jpg</t>
  </si>
  <si>
    <t>Domaine du Deffends</t>
  </si>
  <si>
    <t>Rosé d'une Nuit</t>
  </si>
  <si>
    <t>Coteaux Varois en Provence</t>
  </si>
  <si>
    <t>Komt van: Ockhuysen 
Wanneer: April 2025
Waar is de wijn nu: A3</t>
  </si>
  <si>
    <t>2025-04-19 10:53:39</t>
  </si>
  <si>
    <t>https://www.vivino.com/wines/171502223</t>
  </si>
  <si>
    <t>https://images.vivino.com/labels/LudbVzNYRoW30ed4vbN5Gg.jpg</t>
  </si>
  <si>
    <t>Elysee</t>
  </si>
  <si>
    <t>Grenache Rosé</t>
  </si>
  <si>
    <t>Van: Kleverlaan
Wanneer: 20-05-2025
Waar is de wijn: 
Koelkast: 0</t>
  </si>
  <si>
    <t>2025-05-20 16:55:08</t>
  </si>
  <si>
    <t>https://www.vivino.com/wines/153310730</t>
  </si>
  <si>
    <t>https://images.vivino.com/labels/9zotP1wMRaW0WjPIPdnI5g.jpg</t>
  </si>
  <si>
    <t>Estandon</t>
  </si>
  <si>
    <t>La Route des Plages Côtes de Provence Rose</t>
  </si>
  <si>
    <t>Côtes de Provence</t>
  </si>
  <si>
    <t>Licht fris, toegankelijk, klein zoetje</t>
  </si>
  <si>
    <t>Komt van: Auchan
Wanneer: ?
Lekker bij: varkensvlees, gevogelte
Waar is de wijn nu: koelkast</t>
  </si>
  <si>
    <t>2023-07-28 10:07:19</t>
  </si>
  <si>
    <t>https://www.vivino.com/wines/167881682</t>
  </si>
  <si>
    <t>https://images.vivino.com/labels/wrrh60qGRBWfxzJkwKxA7A.jpg</t>
  </si>
  <si>
    <t>Brise d'été Pinot Noir Rosé</t>
  </si>
  <si>
    <t>Komt van: Scherwiller, Frankrijk 
Wanneer: 2023
Smaak: droog, redelijk fris
Lekker bij: vegetarisch, vis, kip, kaas
Waar is de wijn nu: D9 - E9</t>
  </si>
  <si>
    <t>2023-07-28 16:55:33</t>
  </si>
  <si>
    <t>https://www.vivino.com/wines/175276133</t>
  </si>
  <si>
    <t>https://images.vivino.com/labels/VqZUEmQrSmqHOZHucBM2gQ.jpg</t>
  </si>
  <si>
    <t>La Grande Cuvée de Dourthe</t>
  </si>
  <si>
    <t>Bordeaux Rosé</t>
  </si>
  <si>
    <t>Komt van: Bretagne 
Wanneer: Augustus 2024
Waar is de wijn nu: koelkast</t>
  </si>
  <si>
    <t>2024-08-11 13:05:00</t>
  </si>
  <si>
    <t>https://www.vivino.com/wines/177181052</t>
  </si>
  <si>
    <t>https://images.vivino.com/labels/wixGm-Y4Rn2nG6z5TbGw1A.jpg</t>
  </si>
  <si>
    <t>Les Vignerons d'Aghione</t>
  </si>
  <si>
    <t>Milelli Prestige</t>
  </si>
  <si>
    <t>Vin de Corse</t>
  </si>
  <si>
    <t>Komt van: Auchan
Wanneer: 2022
Lekker bij: vegetarisch, vis, kaas
Waar is de wijn nu: koelkast</t>
  </si>
  <si>
    <t>2023-07-28 10:10:24</t>
  </si>
  <si>
    <t>https://www.vivino.com/wines/171635898</t>
  </si>
  <si>
    <t>https://images.vivino.com/labels/G6CXyWSITb6cM6OMFQMT1Q.jpg</t>
  </si>
  <si>
    <t>Maringer-Reif</t>
  </si>
  <si>
    <t>Spätburgunder Rosé Feinherb</t>
  </si>
  <si>
    <t>Komt van: Duitsland, de Moezel 
Wanneer: Juli 2025
Waar is de wijn nu: A1</t>
  </si>
  <si>
    <t>2025-07-19 15:41:04</t>
  </si>
  <si>
    <t>https://www.vivino.com/wines/181124489</t>
  </si>
  <si>
    <t>https://images.vivino.com/labels/1FaY1qefTWu04_OLZ7ky1Q.jpg</t>
  </si>
  <si>
    <t>Pierre Chanau</t>
  </si>
  <si>
    <t>Tavel Rosé</t>
  </si>
  <si>
    <t>Komt van: Auchan
Wanneer: 2022
Lekker bij: varkensvlees, vis, gevogelte 
Waar is de wijn nu: 1 in koelkast</t>
  </si>
  <si>
    <t>2023-07-28 10:17:50</t>
  </si>
  <si>
    <t>https://www.vivino.com/wines/165024621</t>
  </si>
  <si>
    <t>https://images.vivino.com/labels/AoujO_83S4qysxlel--Fbg.jpg</t>
  </si>
  <si>
    <t>Pierre de Prunet</t>
  </si>
  <si>
    <t>Cuvée Particulière Mont Baudile Rosé</t>
  </si>
  <si>
    <t>Languedoc</t>
  </si>
  <si>
    <t>Komt van: Gall &amp; Gall
Wanneer: ?
Smaak: droog
Lekker bij: vis, aperitief, pasta, voorgerechten 
Waar is de wijn nu: koelkast</t>
  </si>
  <si>
    <t>2023-07-28 11:37:17</t>
  </si>
  <si>
    <t>https://www.vivino.com/wines/5058094</t>
  </si>
  <si>
    <t>https://images.vivino.com/labels/-ZvyIp5STQioevZlGxPVtw.jpg</t>
  </si>
  <si>
    <t>Hemels Rozé</t>
  </si>
  <si>
    <t>Komt van: Wijndomein St. Martinus
Wanneer: 2024
Waar is de wijn nu: 
Koelkast: 0
B6</t>
  </si>
  <si>
    <t>2024-07-18 13:22:40</t>
  </si>
  <si>
    <t>https://www.vivino.com/wines/174446084</t>
  </si>
  <si>
    <t>https://images.vivino.com/labels/CRfNb4HRTH2ESBhaEeER5A.jpg</t>
  </si>
  <si>
    <t>Tenute Orestiadi</t>
  </si>
  <si>
    <t>Rosato</t>
  </si>
  <si>
    <t>Terre Siciliane</t>
  </si>
  <si>
    <t>Southern Italy Rosé</t>
  </si>
  <si>
    <t>Komt van: Ockhuysen 
Wanneer: April 2024
Waar is de wijn nu: 
Koelkast: 0
I5 - J5</t>
  </si>
  <si>
    <t>2024-05-19 08:07:39</t>
  </si>
  <si>
    <t>https://www.vivino.com/wines/170983089</t>
  </si>
  <si>
    <t>https://images.vivino.com/labels/BU1OxnlLQg-2xHpVPqnNgg.jpg</t>
  </si>
  <si>
    <t>Terre Des Dames</t>
  </si>
  <si>
    <t>Rosé Amphore</t>
  </si>
  <si>
    <t>Van: Ockhuysen 
Wanneer: April 2026
Waar is de wijn nu: 
Koelkast: 0
H7</t>
  </si>
  <si>
    <t>2026-04-30 15:33:17</t>
  </si>
  <si>
    <t>https://www.vivino.com/wines/183046132</t>
  </si>
  <si>
    <t>https://images.vivino.com/labels/fcv77lMqS-SaUrBLaTG1xQ.jpg</t>
  </si>
  <si>
    <t>Weingut Loersch</t>
  </si>
  <si>
    <t>Spätburgunder Rosé</t>
  </si>
  <si>
    <t>German Pinot Noir Rosé</t>
  </si>
  <si>
    <t>Komt van: Duitsland, de Moezel 
Wanneer: Juli 2025
Waar is de wijn nu: B11, C11, D11</t>
  </si>
  <si>
    <t>2025-07-19 15:34:39</t>
  </si>
  <si>
    <t>https://www.vivino.com/wines/15975357</t>
  </si>
  <si>
    <t>https://images.vivino.com/labels/Q0qenDpxScmZTyb_M1La-w.jpg</t>
  </si>
  <si>
    <t>Crémant d'Alsace Brut</t>
  </si>
  <si>
    <t>Sparkling</t>
  </si>
  <si>
    <t>Crémant d'Alsace</t>
  </si>
  <si>
    <t>French Crémant</t>
  </si>
  <si>
    <t>Komt van: Saint-Hippolyte, Frankrijk 
Wanneer: 2023
Smaak: redelijk stevig en fris
Lekker bij: aperitief, gevogelte, voorgerechten, tussendoortjes
Waar is de wijn nu: koelkast
MAGNUM</t>
  </si>
  <si>
    <t>2023-07-28 15:37:26</t>
  </si>
  <si>
    <t>Le Saint Hippolyte Mme Guenot</t>
  </si>
  <si>
    <t>https://www.vivino.com/wines/2907155</t>
  </si>
  <si>
    <t>https://images.vivino.com/labels/6CUpmof2Q1mjRwaOYAP_tg.jpg</t>
  </si>
  <si>
    <t>Komt van: Saint-Hippolyte, Frankrijk 
Wanneer: 2023
Waar is de wijn nu: A2</t>
  </si>
  <si>
    <t>2023-07-28 15:31:17</t>
  </si>
  <si>
    <t>https://www.vivino.com/wines/160619865</t>
  </si>
  <si>
    <t>https://images.vivino.com/labels/McJdOqBlRzqdNLpWEzhxwA.jpg</t>
  </si>
  <si>
    <t>Alasia</t>
  </si>
  <si>
    <t>Moscato d'Asti</t>
  </si>
  <si>
    <t>Italian Moscato d'Asti</t>
  </si>
  <si>
    <t>2025-12-25 21:29:01</t>
  </si>
  <si>
    <t>https://www.vivino.com/wines/168714512</t>
  </si>
  <si>
    <t>https://images.vivino.com/labels/Vi28apr2QHO1ifas67uMNQ.jpg</t>
  </si>
  <si>
    <t>2025-12-25 21:31:25</t>
  </si>
  <si>
    <t>Albert Heijn</t>
  </si>
  <si>
    <t>Prosecco Brut</t>
  </si>
  <si>
    <t>Prosecco</t>
  </si>
  <si>
    <t>Italian Prosecco</t>
  </si>
  <si>
    <t>Van: Alja
Wanneer: 3-2-2025
Koelkast: 0</t>
  </si>
  <si>
    <t>2025-02-07 16:54:57</t>
  </si>
  <si>
    <t>https://www.vivino.com/wines/157305872</t>
  </si>
  <si>
    <t>https://images.vivino.com/labels/rJXX3UknT4KJ2HjPi1OfSA.jpg</t>
  </si>
  <si>
    <t>Barollo</t>
  </si>
  <si>
    <t>Prosecco di Treviso</t>
  </si>
  <si>
    <t>Komt van: Philip
Wanneer: April 2025
Waar is de wijn nu:</t>
  </si>
  <si>
    <t>2025-04-19 10:35:11</t>
  </si>
  <si>
    <t>https://www.vivino.com/wines/5061157</t>
  </si>
  <si>
    <t>https://images.vivino.com/labels/7FTwlIetQYuFulXhn15kwA.jpg</t>
  </si>
  <si>
    <t>Komt van: Philip en Janny 
Wanneer:  31-12-2024
Waar is de wijn nu:
Koelkast</t>
  </si>
  <si>
    <t>2024-12-31 15:30:35</t>
  </si>
  <si>
    <t>https://images.vivino.com/labels/1r73rUM0RDqncSN0i_3HPg.jpg</t>
  </si>
  <si>
    <t>Champagne Devaux</t>
  </si>
  <si>
    <t>Cœur des Bar Blanc de Blancs Brut</t>
  </si>
  <si>
    <t>Champagne</t>
  </si>
  <si>
    <t>French Champagne</t>
  </si>
  <si>
    <t>2024-06-18 21:25:33</t>
  </si>
  <si>
    <t>https://www.vivino.com/wines/167529390</t>
  </si>
  <si>
    <t>https://images.vivino.com/labels/-TS79BrqTZmYVS6ksTZhDw.jpg</t>
  </si>
  <si>
    <t>Rymarosè Organic Brut</t>
  </si>
  <si>
    <t>Marche</t>
  </si>
  <si>
    <t>Italian Sparkling</t>
  </si>
  <si>
    <t>Komt van: Philip en Janny 
Wanneer: December 2024
Waar is de wijn nu:
Koelkast</t>
  </si>
  <si>
    <t>2024-12-22 18:28:12</t>
  </si>
  <si>
    <t>https://www.vivino.com/wines/159325069</t>
  </si>
  <si>
    <t>https://images.vivino.com/labels/0Lf91C6rTAqwOD6VtrPVhg.jpg</t>
  </si>
  <si>
    <t>Codorníu</t>
  </si>
  <si>
    <t>Cuvée Barcelona 1872 Brut Cava</t>
  </si>
  <si>
    <t>Cava</t>
  </si>
  <si>
    <t>Spanish Cava</t>
  </si>
  <si>
    <t>Komt van: ?
Wanneer: ?
Smaak: redelijk stevig, fris
Lekker bij: aperitief, voorgerecht, charcuterie 
Waar is de wijn nu:</t>
  </si>
  <si>
    <t>2023-07-28 11:24:14</t>
  </si>
  <si>
    <t>https://www.vivino.com/wines/11052019</t>
  </si>
  <si>
    <t>https://images.vivino.com/labels/2KLnCs1uSciF10M3fB0_yg.jpg</t>
  </si>
  <si>
    <t>Lekkere frisse crémant. Beetje droog, maar wel toegankelijk. 
Lekker op een zomerse dag bij een borrelhapje of als aperitief.</t>
  </si>
  <si>
    <t>Komt van: Riquewihr, Frankrijk 
Wanneer: 2023
Waar is de wijn nu: C3</t>
  </si>
  <si>
    <t>2023-07-28 16:00:23</t>
  </si>
  <si>
    <t>https://www.vivino.com/wines/159620020</t>
  </si>
  <si>
    <t>https://images.vivino.com/labels/O5e8irY7RC-n-eTTmHwhGw.jpg</t>
  </si>
  <si>
    <t>Domein Holset</t>
  </si>
  <si>
    <t>Prins Brut</t>
  </si>
  <si>
    <t>Komt van: Domein Holset
Wanneer: 2024
Waar is de wijn nu: C12 - D12</t>
  </si>
  <si>
    <t>2024-07-20 13:56:32</t>
  </si>
  <si>
    <t>https://www.vivino.com/wines/169894780</t>
  </si>
  <si>
    <t>https://images.vivino.com/labels/tnwKBTiURaWupIzOgjRwLA.jpg</t>
  </si>
  <si>
    <t>Raarberg Chardonnay - Pinot Noir Extra Brut</t>
  </si>
  <si>
    <t>Komt van: Domein Holset
Wanneer: 2024
Waar is de wijn nu: B12
Koelkast:</t>
  </si>
  <si>
    <t>2024-07-20 13:57:19</t>
  </si>
  <si>
    <t>https://www.vivino.com/wines/177624317</t>
  </si>
  <si>
    <t>https://images.vivino.com/labels/Z3it1pE2S2-dVEyxiDcQ9w.jpg</t>
  </si>
  <si>
    <t>Komt van: Domein Holset
Wanneer: 2024
Waar is de wijn nu: 
Koelkast: 0
G11 - H11 - I11 - J11</t>
  </si>
  <si>
    <t>2024-07-19 13:49:16</t>
  </si>
  <si>
    <t>https://www.vivino.com/wines/177969762</t>
  </si>
  <si>
    <t>https://images.vivino.com/labels/v3VlenZeQ7K8KCM6w_xG0w.jpg</t>
  </si>
  <si>
    <t>Gales</t>
  </si>
  <si>
    <t>Private Cuvée Blanc de Blancs Brut</t>
  </si>
  <si>
    <t>Moselle</t>
  </si>
  <si>
    <t>Luxembourg</t>
  </si>
  <si>
    <t>Komt van: Philip
Wanneer: 2023
Waar is de wijn nu: koelkast</t>
  </si>
  <si>
    <t>2023-12-31 13:34:56</t>
  </si>
  <si>
    <t>https://www.vivino.com/wines/8710995</t>
  </si>
  <si>
    <t>https://images.vivino.com/labels/JzUBn5xASASLhXPsswuTPQ.jpg</t>
  </si>
  <si>
    <t>La Spinetta</t>
  </si>
  <si>
    <t>Biancospino Moscato d'Asti</t>
  </si>
  <si>
    <t>Lekkere dessert wijn met een bubbeltje. Zoetig en een frisje.</t>
  </si>
  <si>
    <t>Dessert wijn bij Edmondo’s bruiloft</t>
  </si>
  <si>
    <t>2024-04-06 13:16:45</t>
  </si>
  <si>
    <t>https://www.vivino.com/wines/167253533</t>
  </si>
  <si>
    <t>https://images.vivino.com/labels/azruLtB9TZiVswZKk_eB3A.jpg</t>
  </si>
  <si>
    <t>Louis Bouillot</t>
  </si>
  <si>
    <t>Perle de Vigne Grande Reserve Crémant de Bourgogne Brut</t>
  </si>
  <si>
    <t>Crémant de Bourgogne</t>
  </si>
  <si>
    <t>Komt van: Henk en Riet
Wanneer: ?
Smaak: fris
Lekker bij: aperitief, gevogelte, voorgerechten 
Waar is de wijn nu: koelkast</t>
  </si>
  <si>
    <t>2023-07-28 11:29:27</t>
  </si>
  <si>
    <t>https://www.vivino.com/wines/164943159</t>
  </si>
  <si>
    <t>https://images.vivino.com/labels/yJPXJRhXQXu39uIdTqS49Q.jpg</t>
  </si>
  <si>
    <t>Louis Picamelot</t>
  </si>
  <si>
    <t>Cuvée Jeanne Thomas Blanc de Blancs Extra Brut</t>
  </si>
  <si>
    <t>2025-02-21 10:36:08</t>
  </si>
  <si>
    <t>https://www.vivino.com/wines/165671864</t>
  </si>
  <si>
    <t>https://images.vivino.com/labels/62aHluvzThW2-AkNNnGMUg.jpg</t>
  </si>
  <si>
    <t>Pannier</t>
  </si>
  <si>
    <t>Tradition Brut Champagne</t>
  </si>
  <si>
    <t>Komt van: Philip
Wanneer: 2021
Smaak: stevig, fris
Lekker bij: varkensvlees, kaas, vis
Waar is de wijn nu: B10</t>
  </si>
  <si>
    <t>2023-07-28 11:19:39</t>
  </si>
  <si>
    <t>https://www.vivino.com/wines/2368075</t>
  </si>
  <si>
    <t>https://images.vivino.com/labels/YitLHdeBSlecYDyXEZJKiQ.jpg</t>
  </si>
  <si>
    <t>Crémant d'Alsace Demi-Sec</t>
  </si>
  <si>
    <t>Komt van: Auchan 
Wanneer: 2022
Smaak: fris
Lekker bij: aperitief, voorgerecht
Waar is de wijn nu: koelkast</t>
  </si>
  <si>
    <t>2023-07-28 11:32:51</t>
  </si>
  <si>
    <t>https://www.vivino.com/wines/4280730</t>
  </si>
  <si>
    <t>https://images.vivino.com/labels/AoNT6slFSYyIPqLZuvBk6A.jpg</t>
  </si>
  <si>
    <t>Crémant d'Alsace Rosé Brut</t>
  </si>
  <si>
    <t>Komt van: Auchan
Wanneer: 2022
Lekker bij:  aperitief, voorgerecht, tussendoortjes
Waar is de wijn nu:</t>
  </si>
  <si>
    <t>2023-07-28 10:04:38</t>
  </si>
  <si>
    <t>https://www.vivino.com/wines/145472776</t>
  </si>
  <si>
    <t>https://images.vivino.com/labels/pKKofHbbR5aul4EFR-Lxlg.jpg</t>
  </si>
  <si>
    <t>Pongrácz</t>
  </si>
  <si>
    <t>Méthode Cap Classique Brut</t>
  </si>
  <si>
    <t>Western Cape</t>
  </si>
  <si>
    <t>South African Sparkling</t>
  </si>
  <si>
    <t>Komt van: Alja en Moeders (cadeau voor 25 jaar)
Wanneer: 2024
Waar is de wijn nu: koelkast</t>
  </si>
  <si>
    <t>2024-06-27 12:30:15</t>
  </si>
  <si>
    <t>https://www.vivino.com/wines/1525523</t>
  </si>
  <si>
    <t>https://images.vivino.com/labels/TtZLriVyQ4G9d4necesHUw.jpg</t>
  </si>
  <si>
    <t>Serge Mathieu</t>
  </si>
  <si>
    <t>Tradition-Pur Pinot Blanc de Noirs Brut Champagne</t>
  </si>
  <si>
    <t>2024-06-18 17:07:50</t>
  </si>
  <si>
    <t>https://www.vivino.com/wines/1802535</t>
  </si>
  <si>
    <t>https://images.vivino.com/labels/lnWZfufhTlacasZB74M1hA.jpg</t>
  </si>
  <si>
    <t>Gerardushoeve Brut</t>
  </si>
  <si>
    <t>Komt van: Wijndomein St. Martinus
Wanneer: 2024
Waar is de wijn nu: 
Bar: 3</t>
  </si>
  <si>
    <t>2024-07-20 13:54:26</t>
  </si>
  <si>
    <t>https://www.vivino.com/wines/178266245</t>
  </si>
  <si>
    <t>https://images.vivino.com/labels/XFzAnOrfS-OnVjlV9Il0aA.jpg</t>
  </si>
  <si>
    <t>Voga</t>
  </si>
  <si>
    <t>Weinig smaak en bitter</t>
  </si>
  <si>
    <t>Komt van: Sabine
Wanneer: 2023
Smaak: licht, fris
Lekker bij: aperitief, charcuterie, gevogelte 
Waar is de wijn nu: koelkast</t>
  </si>
  <si>
    <t>2023-07-28 11:31:13</t>
  </si>
  <si>
    <t>https://www.vivino.com/wines/2464384</t>
  </si>
  <si>
    <t>https://images.vivino.com/labels/dMIdCj84SeetGBdgcgDHoA.jpg</t>
  </si>
  <si>
    <t>O-Secco Rosé</t>
  </si>
  <si>
    <t>German Sekt</t>
  </si>
  <si>
    <t>Komt van: Duitsland, de Moezel 
Wanneer: Juli 2025
Waar is de wijn nu: A12</t>
  </si>
  <si>
    <t>2025-07-19 15:07:18</t>
  </si>
  <si>
    <t>Weingut Walter J. Oster</t>
  </si>
  <si>
    <t>https://www.vivino.com/wines/11214553</t>
  </si>
  <si>
    <t>https://images.vivino.com/labels/KUoNRNbkTQauo5H8DIK_bg.jpg</t>
  </si>
  <si>
    <t>Wolfberger</t>
  </si>
  <si>
    <t>Komt van: Auchan
Wanneer: 2022
Lekker bij: aperitief, gevogelte, voorgerecht, hapjes
Waar is de wijn nu:</t>
  </si>
  <si>
    <t>2023-07-28 09:46:13</t>
  </si>
  <si>
    <t>https://www.vivino.com/wines/1469114</t>
  </si>
  <si>
    <t>https://images.vivino.com/labels/gCSWB8XMT2WUvRgAGRrpFA.jpg</t>
  </si>
  <si>
    <t>J. Laurens Mon Delice Cremant de Limoux Brut</t>
  </si>
  <si>
    <t>Crémant de Limoux</t>
  </si>
  <si>
    <t>Komt van: Henk en Riet
Wanneer: ?
Smaak: fris
Lekker bij: aperitief, voorgerechten, gevogelte 
Waar is de wijn nu: A10</t>
  </si>
  <si>
    <t>2023-07-28 11:27:39</t>
  </si>
  <si>
    <t>https://www.vivino.com/wines/152995301</t>
  </si>
  <si>
    <t>https://images.vivino.com/labels/dL9UxcP0QrONqGoWcXL51A.jpg</t>
  </si>
  <si>
    <t>Château de Montifaud Aged 10 Years Grande Champagne 1er Cru Cognac</t>
  </si>
  <si>
    <t>Unknown</t>
  </si>
  <si>
    <t>Cognac</t>
  </si>
  <si>
    <t>2024-12-25 22:11:09</t>
  </si>
  <si>
    <t>https://www.vivino.com/wines/158689991</t>
  </si>
  <si>
    <t>https://images.vivino.com/labels/6SxzJr2GS3-812-0oNaRPg.jpg</t>
  </si>
  <si>
    <t>2024-12-25 22:12:06</t>
  </si>
  <si>
    <t>Vieilles Vignes Pinot Gris</t>
  </si>
  <si>
    <t>White Wine</t>
  </si>
  <si>
    <t>Alsace Pinot Gris</t>
  </si>
  <si>
    <t>Komt van: Saint-Hippolyte, Frankrijk
Wanneer: 2023
Smaak: droog, rond 
Lekker bij: pittig, paddenstoelen, varkensvlees, charcuterie
Waar is de wijn nu: 
Koelkast: 0</t>
  </si>
  <si>
    <t>2023-07-28 15:16:51</t>
  </si>
  <si>
    <t>https://www.vivino.com/wines/175504765</t>
  </si>
  <si>
    <t>https://images.vivino.com/labels/5S8Z4OTyRBq89fCl4aG34g.jpg</t>
  </si>
  <si>
    <t>Pinot Blanc</t>
  </si>
  <si>
    <t>Austrian Pinot Blanc</t>
  </si>
  <si>
    <t>Komt van: Ockhuysen 
Wanneer: 2022
Smaak: droog, fris 
Lekker bij: kaas, vis, charcuterie 
Waar is de wijn nu: C7 - D7</t>
  </si>
  <si>
    <t>2023-07-28 13:10:52</t>
  </si>
  <si>
    <t>https://www.vivino.com/wines/171140659</t>
  </si>
  <si>
    <t>https://images.vivino.com/labels/T_ShmruJQuanigQDLtlLQg.jpg</t>
  </si>
  <si>
    <t>Cartagena Riesling</t>
  </si>
  <si>
    <t>San Antonio Valley</t>
  </si>
  <si>
    <t>Chilean Riesling</t>
  </si>
  <si>
    <t>Komt van: Ockhuysen 
Wanneer: April 2025
Waar is de wijn nu: F4-G4</t>
  </si>
  <si>
    <t>2025-04-19 10:56:45</t>
  </si>
  <si>
    <t>https://www.vivino.com/wines/175604983</t>
  </si>
  <si>
    <t>https://images.vivino.com/labels/W51LPVS6RbyzGvwnYVEVvA.jpg</t>
  </si>
  <si>
    <t>Catherine et Pascal Rollet - Domaine de la Chapelle</t>
  </si>
  <si>
    <t>Vieilles Vignes Pouilly-Fuissé</t>
  </si>
  <si>
    <t>Pouilly-Fuissé</t>
  </si>
  <si>
    <t>Burgundy Macônnais White</t>
  </si>
  <si>
    <t>2024-06-18 17:32:40</t>
  </si>
  <si>
    <t>https://www.vivino.com/wines/169211118</t>
  </si>
  <si>
    <t>https://images.vivino.com/labels/c1GQzJluQrSmiDyS1SGtDA.jpg</t>
  </si>
  <si>
    <t>Cave Vinicole de Hunawihr</t>
  </si>
  <si>
    <t>Pinot Gris Alsace Grand Cru 'Froehn'</t>
  </si>
  <si>
    <t>Alsace Grand Cru 'Froehn'</t>
  </si>
  <si>
    <t>2023-12-05 17:30:30</t>
  </si>
  <si>
    <t>https://www.vivino.com/wines/171692792</t>
  </si>
  <si>
    <t>https://images.vivino.com/labels/M52viOCXSLemgBoT7oEP4g.jpg</t>
  </si>
  <si>
    <t>Pinot Gris Alsace Grand Cru 'Rosacker'</t>
  </si>
  <si>
    <t>Alsace Grand Cru 'Rosacker'</t>
  </si>
  <si>
    <t>Komt van: Philip
Wanneer: December 2023
Waar is de wijn nu: 3</t>
  </si>
  <si>
    <t>2023-12-19 13:19:34</t>
  </si>
  <si>
    <t>https://www.vivino.com/wines/167380425</t>
  </si>
  <si>
    <t>https://images.vivino.com/labels/-tuB6uOhSGa9-NWitBErhg.jpg</t>
  </si>
  <si>
    <t>Riesling Alsace Grand Cru 'Rosacker'</t>
  </si>
  <si>
    <t>Alsace Riesling</t>
  </si>
  <si>
    <t>Komt van: Philip en Janny 
Wanneer: November 2024
Waar is de wijn nu:
E4</t>
  </si>
  <si>
    <t>2024-11-16 16:49:51</t>
  </si>
  <si>
    <t>https://www.vivino.com/wines/167487800</t>
  </si>
  <si>
    <t>https://images.vivino.com/labels/fh-5C2VpS-WO-PsRhjiPAA.jpg</t>
  </si>
  <si>
    <t>2023-12-05 17:30:46</t>
  </si>
  <si>
    <t>https://www.vivino.com/wines/9402232</t>
  </si>
  <si>
    <t>https://images.vivino.com/labels/jxKVEhjLQTGQwdaPnr_zOw.jpg</t>
  </si>
  <si>
    <t>2023-12-05 17:24:23</t>
  </si>
  <si>
    <t>https://www.vivino.com/wines/163400768</t>
  </si>
  <si>
    <t>https://images.vivino.com/labels/9cgLKglSRsyikYXMALcuBg.jpg</t>
  </si>
  <si>
    <t>Entre-deux-Mers</t>
  </si>
  <si>
    <t>Bordeaux White</t>
  </si>
  <si>
    <t>Komt van: Ockhuysen 
Wanneer: 2020
Smaak: stevig, droog 
Lekker bij: varkensvlees, voorgerecht, tussendoortjes 
Waar is de wijn nu: C2</t>
  </si>
  <si>
    <t>2023-07-28 12:04:47</t>
  </si>
  <si>
    <t>https://www.vivino.com/wines/166999700</t>
  </si>
  <si>
    <t>https://images.vivino.com/labels/4uFZEO3eSH6JLd3V3kaWZQ.jpg</t>
  </si>
  <si>
    <t>Passerina Marche Evoè</t>
  </si>
  <si>
    <t>Central Italy White</t>
  </si>
  <si>
    <t>2024-09-21 11:08:01</t>
  </si>
  <si>
    <t>https://www.vivino.com/wines/168948000</t>
  </si>
  <si>
    <t>https://images.vivino.com/labels/mLp4BCrIQS69XCb06AWrjw.jpg</t>
  </si>
  <si>
    <t>Coeur du Sud</t>
  </si>
  <si>
    <t>Blanc</t>
  </si>
  <si>
    <t>French White</t>
  </si>
  <si>
    <t>Kerstpakket Wout 2024
Koelkast: 1</t>
  </si>
  <si>
    <t>2024-12-20 21:25:55</t>
  </si>
  <si>
    <t>https://www.vivino.com/wines/18414837</t>
  </si>
  <si>
    <t>https://images.vivino.com/labels/vlXSwjmnTmqdhSnJHW9MNw.jpg</t>
  </si>
  <si>
    <t>Verdicchio dei Castelli di Jesi</t>
  </si>
  <si>
    <t>Van: Ockhuysen 
Wanneer: April 2026
Waar is de wijn nu: 
Koelkast: 0
H2</t>
  </si>
  <si>
    <t>2026-04-30 15:24:46</t>
  </si>
  <si>
    <t>https://www.vivino.com/wines/179813738</t>
  </si>
  <si>
    <t>https://images.vivino.com/labels/11E_EPy6SOy2si5mJXIJNQ.jpg</t>
  </si>
  <si>
    <t>Dirler-Cadé</t>
  </si>
  <si>
    <t>Komt van: Ockhuysen 
Wanneer: ?
Smaak: droog, fris
Lekker bij: pittig, varkensvlees, vis, charcuterie 
Waar is de wijn nu: A5 - B5</t>
  </si>
  <si>
    <t>2023-07-28 13:07:57</t>
  </si>
  <si>
    <t>https://www.vivino.com/wines/159871320</t>
  </si>
  <si>
    <t>https://images.vivino.com/labels/b_ymV-ygQLmenL8vUDwkEw.jpg</t>
  </si>
  <si>
    <t>Alsace Grand Cru 'Schoenenbourg' Riesling</t>
  </si>
  <si>
    <t>Alsace Grand Cru 'Schoenenbourg'</t>
  </si>
  <si>
    <t>Komt van: Riquewihr, Frankrijk 
Wanneer: 2023
Smaak: droog, rond
Lekker bij: pittig, varkensvlees, charcuterie 
Waar is de wijn nu: 
Koelkast: 1</t>
  </si>
  <si>
    <t>2023-07-28 15:54:22</t>
  </si>
  <si>
    <t>https://www.vivino.com/wines/161568247</t>
  </si>
  <si>
    <t>https://images.vivino.com/labels/yU62VOD-Ru6kPTds_vFxZg.jpg</t>
  </si>
  <si>
    <t>Domaine Viticole de la Ville de Colmar</t>
  </si>
  <si>
    <t>Gewürztraminer</t>
  </si>
  <si>
    <t>Alsace Gewürztraminer</t>
  </si>
  <si>
    <t>Beetje zoet, lekker fris</t>
  </si>
  <si>
    <t>Komt van: Colmar, Frankrijk 
Wanneer: 2023
Smaak: stevig, rond 
Lekker bij: pittig, varkensvlees, vis, gevogelte 
Waar is de wijn nu: koelkast</t>
  </si>
  <si>
    <t>2023-07-28 15:27:13</t>
  </si>
  <si>
    <t>https://www.vivino.com/wines/132146246</t>
  </si>
  <si>
    <t>https://images.vivino.com/labels/kUQFYujgSXGIteDSz9mmBw.jpg</t>
  </si>
  <si>
    <t>Domaine des Deux Roches</t>
  </si>
  <si>
    <t>Tradition Mâcon-Villages</t>
  </si>
  <si>
    <t>Mâcon-Villages</t>
  </si>
  <si>
    <t>Komt van: Ockhuysen 
Wanneer: April 2024 (laten liggen tot na 2025)
Waar is de wijn nu: F6, G6</t>
  </si>
  <si>
    <t>2024-05-19 08:02:22</t>
  </si>
  <si>
    <t>https://www.vivino.com/wines/174758424</t>
  </si>
  <si>
    <t>https://images.vivino.com/labels/2_2o8f35Q1eDt2YxDxSj0w.jpg</t>
  </si>
  <si>
    <t>Réserve Gewürztraminer</t>
  </si>
  <si>
    <t>Komt van: Scherwiller
Wanneer: 2023
Smaak: stevig, rond 
Lekker bij: pittig, varkensvlees, gevogelte, paté
Waar is de wijn nu:
Koelkast:</t>
  </si>
  <si>
    <t>2023-07-28 16:52:29</t>
  </si>
  <si>
    <t>https://www.vivino.com/wines/166444306</t>
  </si>
  <si>
    <t>https://images.vivino.com/labels/fbN1UVB8QJ2fds7dW_9A2Q.jpg</t>
  </si>
  <si>
    <t>Vieilles Vignes Riesling</t>
  </si>
  <si>
    <t>Komt van: Scherwiller, Frankrijk 
Wanneer: 2023
Smaak: fris
Lekker bij: pittig, varkensvlees, vis, charcuterie 
Waar is de wijn nu: 
F9 - G9 - H9 - I9 - J9</t>
  </si>
  <si>
    <t>2023-07-28 16:41:07</t>
  </si>
  <si>
    <t>https://www.vivino.com/wines/173197685</t>
  </si>
  <si>
    <t>https://images.vivino.com/labels/QTMzfyfdRjy1V4CVLAclsA.jpg</t>
  </si>
  <si>
    <t>Hansen Lauer</t>
  </si>
  <si>
    <t>Bernkasteler Matheis-Bildchen Spätlese Riesling Feinherb</t>
  </si>
  <si>
    <t>German Riesling</t>
  </si>
  <si>
    <t>Komt van: Duitsland, de Moezel 
Wanneer: Juli 2025
Waar is de wijn nu: A8, B8</t>
  </si>
  <si>
    <t>2025-07-19 15:31:49</t>
  </si>
  <si>
    <t>https://www.vivino.com/wines/176742253</t>
  </si>
  <si>
    <t>https://images.vivino.com/labels/hGk95x4GRSOHUNJI-NRn5A.jpg</t>
  </si>
  <si>
    <t>Ingrid Groiss</t>
  </si>
  <si>
    <t>Braitenpuechtorff</t>
  </si>
  <si>
    <t>Wiener Gemischter Satz</t>
  </si>
  <si>
    <t>Austrian White</t>
  </si>
  <si>
    <t>Komt van: Ockhuysen 
Wanneer: 2023
Smaak: droog, fris 
Lekker bij: gevogelte, varkensvlees, vis, kaas
Waar is de wijn nu: Koelkast</t>
  </si>
  <si>
    <t>2023-07-28 13:12:27</t>
  </si>
  <si>
    <t>https://www.vivino.com/wines/173852542</t>
  </si>
  <si>
    <t>https://images.vivino.com/labels/5u5CBeNDRoGQVWTWuQ6VKg.jpg</t>
  </si>
  <si>
    <t>Grüner Veltliner Weinviertel</t>
  </si>
  <si>
    <t>Weinviertel</t>
  </si>
  <si>
    <t>Austrian Grüner Veltliner</t>
  </si>
  <si>
    <t>Komt van: Ockhuysen 
Wanneer: April 2025
Waar is de wijn nu: F7-G7</t>
  </si>
  <si>
    <t>2025-04-19 10:47:56</t>
  </si>
  <si>
    <t>https://www.vivino.com/wines/168018057</t>
  </si>
  <si>
    <t>https://images.vivino.com/labels/CVqNn1ouRr6ocRo15iBcZQ.jpg</t>
  </si>
  <si>
    <t>Pankraz Grüner Veltliner Reserve</t>
  </si>
  <si>
    <t>Komt van: Ockhuysen 
Wanneer: April 2025
Waar is de wijn nu: C2-C4</t>
  </si>
  <si>
    <t>2025-04-19 10:58:46</t>
  </si>
  <si>
    <t>https://www.vivino.com/wines/179069345</t>
  </si>
  <si>
    <t>https://images.vivino.com/labels/3dQnW7NZSnu9ycFmjhYATQ.jpg</t>
  </si>
  <si>
    <t>Kleine Schorre</t>
  </si>
  <si>
    <t>Rivaner - Auxerrois</t>
  </si>
  <si>
    <t>Zeeland</t>
  </si>
  <si>
    <t>Van: Wijnhoeve De Kleine Schorre in Zeeland
Wanneer: April 2026
Waar is de wijn nu: 
Koelkast: 1
D6, E6</t>
  </si>
  <si>
    <t>2026-04-06 08:42:51</t>
  </si>
  <si>
    <t>https://www.vivino.com/wines/180782407</t>
  </si>
  <si>
    <t>https://images.vivino.com/labels/5ZrgNLzZTWGdQZ5XFmclFQ.jpg</t>
  </si>
  <si>
    <t>Souvignier</t>
  </si>
  <si>
    <t>Wine of the Netherlands</t>
  </si>
  <si>
    <t>Van: Wijnhoeve De Kleine Schorre in Zeeland
Wanneer: April 2026
Waar is de wijn nu: 
Koelkast: 1</t>
  </si>
  <si>
    <t>2026-04-06 08:39:30</t>
  </si>
  <si>
    <t>https://www.vivino.com/wines/181549884</t>
  </si>
  <si>
    <t>https://images.vivino.com/labels/pws1goEATKq7t2U01EiUXg.jpg</t>
  </si>
  <si>
    <t>La Costa</t>
  </si>
  <si>
    <t>Brigante Bianco</t>
  </si>
  <si>
    <t>Lombardia</t>
  </si>
  <si>
    <t>Northern Italy White</t>
  </si>
  <si>
    <t>Zachte, volle smaak met een zuurtje. Fruitige wijn en heerlijk bij Italiaans eten.</t>
  </si>
  <si>
    <t>Wijn op Edmondo’s bruiloft</t>
  </si>
  <si>
    <t>2024-04-06 13:13:17</t>
  </si>
  <si>
    <t>https://www.vivino.com/wines/162108030</t>
  </si>
  <si>
    <t>https://images.vivino.com/labels/FUgj-2cnQvaczqE0HHNi1A.jpg</t>
  </si>
  <si>
    <t>2024-04-06 13:13:14</t>
  </si>
  <si>
    <t>https://images.vivino.com/labels/jw9i2W9HR6yQV_8GrfDJSA.jpg</t>
  </si>
  <si>
    <t>La Gelsomina</t>
  </si>
  <si>
    <t>Etna Bianco della Contea</t>
  </si>
  <si>
    <t>Etna</t>
  </si>
  <si>
    <t>Southern Italy White</t>
  </si>
  <si>
    <t>Komt van: Ockhuysen 
Wanneer: 2023
Smaak: stevig, droog 
Lekker bij: voorgerechten, tussendoortjes 
Waar is de wijn nu: 
Koelkast: 0
D2</t>
  </si>
  <si>
    <t>2023-07-28 12:58:15</t>
  </si>
  <si>
    <t>https://www.vivino.com/wines/172834365</t>
  </si>
  <si>
    <t>https://images.vivino.com/labels/pCPj1CmpRAqApFWEf3bIEg.jpg</t>
  </si>
  <si>
    <t>LaSelva</t>
  </si>
  <si>
    <t>Vermentino Maremma Toscana</t>
  </si>
  <si>
    <t>Maremma Toscana</t>
  </si>
  <si>
    <t>Komt van: Ockhuysen 
Wanneer: 2022
Lekker bij: Charcuterie, voorgerecht, pasta
Waar is de wijn nu: 
Koelkast: 1</t>
  </si>
  <si>
    <t>2023-07-28 10:12:51</t>
  </si>
  <si>
    <t>https://www.vivino.com/wines/171197881</t>
  </si>
  <si>
    <t>https://images.vivino.com/labels/z4_nU4ZwSmSMXckxu7R8jw.jpg</t>
  </si>
  <si>
    <t>Logan</t>
  </si>
  <si>
    <t>Weemala Gewürztraminer</t>
  </si>
  <si>
    <t>Orange</t>
  </si>
  <si>
    <t>Australia</t>
  </si>
  <si>
    <t>Australian Gewürztraminer White</t>
  </si>
  <si>
    <t>Komt van: Ockhuysen 
Wanneer: April 2024
Waar is de wijn nu: 
Koelkast: 1</t>
  </si>
  <si>
    <t>2024-05-19 08:06:43</t>
  </si>
  <si>
    <t>https://www.vivino.com/wines/175915130</t>
  </si>
  <si>
    <t>https://images.vivino.com/labels/3rDRiAAmRL6Ewjr36OJlVg.jpg</t>
  </si>
  <si>
    <t>Markus Prackwieser Gump Hof</t>
  </si>
  <si>
    <t>Mediaevum Sauvignon</t>
  </si>
  <si>
    <t>Südtirol - Alto Adige</t>
  </si>
  <si>
    <t>Komt van: Ockhuysen 
Wanneer: April 2025
Waar is de wijn nu: 
Koelkast: 2</t>
  </si>
  <si>
    <t>2025-04-19 10:50:50</t>
  </si>
  <si>
    <t>https://www.vivino.com/wines/171834724</t>
  </si>
  <si>
    <t>https://images.vivino.com/labels/7l5jEq1ORgivz5hiWsylKw.jpg</t>
  </si>
  <si>
    <t>Michel Briday</t>
  </si>
  <si>
    <t>Rully 'Clos de Remenot'</t>
  </si>
  <si>
    <t>Rully</t>
  </si>
  <si>
    <t>Burgundy Côte Chalonnaise White</t>
  </si>
  <si>
    <t>Van: Ockhuysen 
Wanneer: April 2026
Waar is de wijn nu: 
Koelkast: 0
H4</t>
  </si>
  <si>
    <t>2026-04-30 15:27:24</t>
  </si>
  <si>
    <t>https://www.vivino.com/wines/179362894</t>
  </si>
  <si>
    <t>https://images.vivino.com/labels/Q-f37U1JQa-rhL--N16q9Q.jpg</t>
  </si>
  <si>
    <t>Morin Pere &amp; Fils</t>
  </si>
  <si>
    <t>Bourgogne Chardonnay</t>
  </si>
  <si>
    <t>Burgundy White</t>
  </si>
  <si>
    <t>Komt van: Auchan 
Wanneer: 2022
Smaak: stevig, droog 
Lekker bij: kaas, vis, charcuterie, pasta
Waar is de wijn nu:</t>
  </si>
  <si>
    <t>2023-07-28 13:05:45</t>
  </si>
  <si>
    <t>https://www.vivino.com/wines/167860202</t>
  </si>
  <si>
    <t>https://images.vivino.com/labels/NIlTTzRPQa6CcIZliaWJHQ.jpg</t>
  </si>
  <si>
    <t>Verdejo Fermentado en Barrica</t>
  </si>
  <si>
    <t>Spanish Verdejo</t>
  </si>
  <si>
    <t>Komt van: Ockhuysen 
Wanneer: 2020
Smaak: zacht
Lekker bij: varkensvlees, charcuterie 
Waar is de wijn nu: E2</t>
  </si>
  <si>
    <t>2023-07-28 12:19:45</t>
  </si>
  <si>
    <t>https://www.vivino.com/wines/156921810</t>
  </si>
  <si>
    <t>https://images.vivino.com/labels/5BKmqaAVRM2y5ME_5uncCg.jpg</t>
  </si>
  <si>
    <t>Peter Lauer</t>
  </si>
  <si>
    <t>Feils Faß 13</t>
  </si>
  <si>
    <t>2024-06-18 18:58:22</t>
  </si>
  <si>
    <t>https://www.vivino.com/wines/171318750</t>
  </si>
  <si>
    <t>https://images.vivino.com/labels/q6rdxbUFR9yiDU5kkMjEPQ.jpg</t>
  </si>
  <si>
    <t>Cuvée Réserve Gewürztraminer</t>
  </si>
  <si>
    <t>Komt van: Auchan 
Wanneer: 2022
Smaak: rond en zoet
Lekker bij: pittig, varkensvlees, gevogelte 
Waar is de wijn nu: Koelkast</t>
  </si>
  <si>
    <t>2023-07-28 13:03:46</t>
  </si>
  <si>
    <t>https://www.vivino.com/wines/168161747</t>
  </si>
  <si>
    <t>https://images.vivino.com/labels/51uLr7_TTDC2bpHlG7nc0w.jpg</t>
  </si>
  <si>
    <t>Sierra de Toloño</t>
  </si>
  <si>
    <t>Viura</t>
  </si>
  <si>
    <t>Spanish Rioja White</t>
  </si>
  <si>
    <t>Komt van: Ockhuysen 
Wanneer: April 2024 (bewaren tot na 2026)
Waar is de wijn nu: A7 - B7</t>
  </si>
  <si>
    <t>2024-05-19 08:13:56</t>
  </si>
  <si>
    <t>https://www.vivino.com/wines/176980948</t>
  </si>
  <si>
    <t>https://images.vivino.com/labels/XmnVdcbHQ2OPL4WkLTOymw.jpg</t>
  </si>
  <si>
    <t>Soalheiro</t>
  </si>
  <si>
    <t>Alvarinho</t>
  </si>
  <si>
    <t>Monção e Melgaço</t>
  </si>
  <si>
    <t>Portuguese Vinho Verde White</t>
  </si>
  <si>
    <t>Komt van: Ockhuysen 
Wanneer: 2022
Smaak: licht, droog, fris
Lekker bij: voorgerechten, tussendoortjes
Waar is de wijn nu:
B3
C1</t>
  </si>
  <si>
    <t>2023-07-28 10:15:06</t>
  </si>
  <si>
    <t>https://www.vivino.com/wines/167164953</t>
  </si>
  <si>
    <t>https://images.vivino.com/labels/ButcfbxeRuiVa4zVPVJvCA.jpg</t>
  </si>
  <si>
    <t>Josefien</t>
  </si>
  <si>
    <t>Komt van: Domein St. Martinus
Wanneer: 2024
Koelkast: 1</t>
  </si>
  <si>
    <t>2024-07-20 13:53:29</t>
  </si>
  <si>
    <t>https://www.vivino.com/wines/164166632</t>
  </si>
  <si>
    <t>https://images.vivino.com/labels/m9cMOSxGSu6e2rUJV83Gig.jpg</t>
  </si>
  <si>
    <t>Sterhuis</t>
  </si>
  <si>
    <t>Sauvignon Blanc</t>
  </si>
  <si>
    <t>Stellenbosch</t>
  </si>
  <si>
    <t>South African Sauvignon Blanc</t>
  </si>
  <si>
    <t>Komt van: Ockhuysen 
Wanneer: ?
Smaak: droog, fris 
Lekker bij: aperitief, vis 
Waar is de wijn nu: H6 - I6 - J6</t>
  </si>
  <si>
    <t>2023-07-28 13:17:18</t>
  </si>
  <si>
    <t>https://www.vivino.com/wines/41694017</t>
  </si>
  <si>
    <t>https://images.vivino.com/labels/yUsTyk3GREuXezR9vSGZ0g.jpg</t>
  </si>
  <si>
    <t>Villa di Mare</t>
  </si>
  <si>
    <t>Pinot Grigio</t>
  </si>
  <si>
    <t>Komt van: Wout (Vaderdag)
Wanneer: 2024
Waar is de wijn nu: koelkast</t>
  </si>
  <si>
    <t>2024-06-16 19:49:41</t>
  </si>
  <si>
    <t>https://www.vivino.com/wines/170022731</t>
  </si>
  <si>
    <t>https://images.vivino.com/labels/Kt8GV1WMR3WeeLgjOQS6Zg.jpg</t>
  </si>
  <si>
    <t>Vina La Rosa</t>
  </si>
  <si>
    <t>La Palma Chardonnay</t>
  </si>
  <si>
    <t>Cachapoal Valley</t>
  </si>
  <si>
    <t>Chilean Chardonnay</t>
  </si>
  <si>
    <t>Komt van: Gall &amp; Gall
Wanneer: 2023
Smaak: stevig, rond
Lekker bij: varkensvlees, vis, gevogelte 
Waar is de wijn nu: koelkast</t>
  </si>
  <si>
    <t>2023-07-28 11:35:42</t>
  </si>
  <si>
    <t>https://www.vivino.com/wines/170799644</t>
  </si>
  <si>
    <t>https://images.vivino.com/labels/lus__qVMQQyaGtN70gkioA.jpg</t>
  </si>
  <si>
    <t>Neefer Frauenberg Riesling</t>
  </si>
  <si>
    <t>German Wine</t>
  </si>
  <si>
    <t>Komt van: Duitsland, de Moezel 
Wanneer: Juli 2025
Waar is de wijn nu: E5, F5, G5, H5</t>
  </si>
  <si>
    <t>2025-07-19 15:27:29</t>
  </si>
  <si>
    <t>https://www.vivino.com/wines/4785683</t>
  </si>
  <si>
    <t>https://images.vivino.com/labels/czpFSM2tRBCkQECcBiisRQ.jpg</t>
  </si>
  <si>
    <t>O-Secco Riesling Trocken</t>
  </si>
  <si>
    <t>Komt van: Duitsland, de Moezel 
Wanneer: Juli 2025
Waar is de wijn nu: C5, D5</t>
  </si>
  <si>
    <t>2025-07-19 15:13:20</t>
  </si>
  <si>
    <t>https://www.vivino.com/wines/156863135</t>
  </si>
  <si>
    <t>https://images.vivino.com/labels/cfqZnOyhTdyrYDd3jy-XWw.jpg</t>
  </si>
  <si>
    <t>Alte Reben Trittenheimer Apotheke Riesling Auslese</t>
  </si>
  <si>
    <t>Komt van: Duitsland, de Moezel 
Wanneer: Juli 2025
Waar is de wijn nu: in de la met sterke drank</t>
  </si>
  <si>
    <t>2025-07-19 15:43:15</t>
  </si>
  <si>
    <t>https://www.vivino.com/wines/164142572</t>
  </si>
  <si>
    <t>https://images.vivino.com/labels/nkB4zLALR2eck6zCVTEdaA.jpg</t>
  </si>
  <si>
    <t>Altärchen Riesling Trocken</t>
  </si>
  <si>
    <t>Komt van: Duitsland, de Moezel 
Wanneer: Juli 2025
Waar is de wijn nu: Doos 2
Foto Moezel wijnhuis Loersch, sky lounge:
Het druivenveld op de helling achter het dorpje.</t>
  </si>
  <si>
    <t>2025-07-19 15:46:30</t>
  </si>
  <si>
    <t>https://www.vivino.com/wines/157634229</t>
  </si>
  <si>
    <t>https://images.vivino.com/labels/3IQ4AGGZQJugBN59TTMJ_w.jpg</t>
  </si>
  <si>
    <t>Rosengärtchen Riesling Kabinett Feinherb</t>
  </si>
  <si>
    <t>Komt van: Duitsland, de Moezel 
Wanneer: Juli 2025
Waar is de wijn nu: I7, J7</t>
  </si>
  <si>
    <t>2025-07-19 15:38:42</t>
  </si>
  <si>
    <t>https://www.vivino.com/wines/160606027</t>
  </si>
  <si>
    <t>https://images.vivino.com/labels/QiRS9dL8RhGkJNQsatIbaA.jpg</t>
  </si>
  <si>
    <t>Vogelsang Riesling Trocken</t>
  </si>
  <si>
    <t>Komt van: Duitsland, de Moezel 
Wanneer: Juli 2025
Waar is de wijn nu: 
A9, B9, C9
Koelkast: 2
Foto Moezel wijnhuis Loersch, sky lounge:
Het druivenveld op de helling rechts, aan de andere kant van de Moezel.</t>
  </si>
  <si>
    <t>2025-07-19 15:45:00</t>
  </si>
  <si>
    <t>https://www.vivino.com/wines/178339421</t>
  </si>
  <si>
    <t>https://images.vivino.com/labels/HQMDgMTxTWO4N4VNdSmNYQ.jpg</t>
  </si>
  <si>
    <t>Weingut Stadt Krems</t>
  </si>
  <si>
    <t>Lössterrassen Grüner Veltliner</t>
  </si>
  <si>
    <t>Kremstal</t>
  </si>
  <si>
    <t>Komt van: Ockhuysen 
Wanneer: 2023
Smaak: droog, fris 
Lekker bij: vegetarisch, vis, varkensvlees 
Waar is de wijn nu: G7</t>
  </si>
  <si>
    <t>2023-07-28 13:23:43</t>
  </si>
  <si>
    <t>https://www.vivino.com/wines/171814190</t>
  </si>
  <si>
    <t>https://images.vivino.com/labels/tFS0zifKSsezxKBA-MOlIw.jpg</t>
  </si>
  <si>
    <t>Komt van: Ockhuysen 
Wanneer: 2021
Smaak: droog, fris 
Lekker bij: vegetarisch, varkensvlees 
Waar is de wijn nu: E7 - F7</t>
  </si>
  <si>
    <t>2023-07-28 13:21:42</t>
  </si>
  <si>
    <t>https://www.vivino.com/wines/166625781</t>
  </si>
  <si>
    <t>https://images.vivino.com/labels/TG1dTZPzR4mXLX_KeHYb0Q.jpg</t>
  </si>
  <si>
    <t>le FATbastard</t>
  </si>
  <si>
    <t>Chardonnay</t>
  </si>
  <si>
    <t>Languedoc-Roussillon White</t>
  </si>
  <si>
    <t>Van: Karen
Wanneer: November 2025
Waar: Castricum 
Waar is de wijn nu: G2</t>
  </si>
  <si>
    <t>2025-11-08 10:38:43</t>
  </si>
  <si>
    <t>https://www.vivino.com/wines/179560905</t>
  </si>
  <si>
    <t>https://images.vivino.com/labels/J7Uug_x2QSKOgPbQZu8GQw.jpg</t>
  </si>
  <si>
    <t>2025-07-19 15:31:24</t>
  </si>
  <si>
    <t>https://images.vivino.com/labels/l-zcF7vLSFKiOWFOZ0W6LQ.jpg</t>
  </si>
  <si>
    <t>2025-02-05 18:05:23</t>
  </si>
  <si>
    <t>https://images.vivino.com/labels/AcDibSDCQ_6EGH0i6f8VOQ.jpg</t>
  </si>
  <si>
    <t>2025-02-05 18:00:05</t>
  </si>
  <si>
    <t>https://images.vivino.com/labels/bQWFAhVQR4Wjx7ASNb2aMQ.jpg</t>
  </si>
  <si>
    <t>Colour</t>
  </si>
  <si>
    <t>Meaning</t>
  </si>
  <si>
    <t>White</t>
  </si>
  <si>
    <t>In full wine list only</t>
  </si>
  <si>
    <t>Green</t>
  </si>
  <si>
    <t>In cellar only</t>
  </si>
  <si>
    <t>Blue</t>
  </si>
  <si>
    <t>In wishlist only</t>
  </si>
  <si>
    <t>Light green</t>
  </si>
  <si>
    <t>Full list + Cellar</t>
  </si>
  <si>
    <t>Light blue</t>
  </si>
  <si>
    <t>Full list + Wishlist</t>
  </si>
  <si>
    <t>Yellow</t>
  </si>
  <si>
    <t>Full list + Cellar + Wishlist</t>
  </si>
  <si>
    <t>Waar is de wijn nu</t>
  </si>
  <si>
    <t>Palacio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</si>
</sst>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0E8DE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AF0FA"/>
      </patternFill>
    </fill>
    <fill>
      <patternFill patternType="solid">
        <fgColor rgb="FFEAF4EA"/>
      </patternFill>
    </fill>
    <fill>
      <patternFill patternType="solid">
        <fgColor rgb="FFE8F0FB"/>
      </patternFill>
    </fill>
    <fill>
      <patternFill patternType="solid">
        <fgColor rgb="FFFFF9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2" fillId="3" borderId="0" xfId="0" applyFont="1" applyFill="1"/>
    <xf numFmtId="0" fontId="2" fillId="0" borderId="0" xfId="0" applyFont="1"/>
    <xf numFmtId="0" fontId="2" fillId="5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0" borderId="0" xfId="0" applyFont="1" applyFill="1" applyAlignment="1">
      <alignment horizontal="center" vertical="center" wrapText="1"/>
    </xf>
    <xf numFmtId="0" fontId="0" fillId="0" borderId="0" xfId="0" applyFill="1"/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4" fillId="0" borderId="0" xfId="1" applyFill="1" applyAlignment="1">
      <alignment vertical="top"/>
    </xf>
  </cellXfs>
  <cellStyles count="2">
    <cellStyle name="Hyperlink" xfId="1" builtinId="8"/>
    <cellStyle name="Standaard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0E8DE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7AC5-ED84-714C-AF65-A49146E85B24}" name="Tabel1" displayName="Tabel1" ref="A1:T180" totalsRowShown="0" headerRowDxfId="2" dataDxfId="1">
  <autoFilter ref="A1:T180" xr:uid="{00000000-0009-0000-0000-000000000000}"/>
  <tableColumns count="20">
    <tableColumn id="1" xr3:uid="{8DAAAC31-1032-9549-BB39-08E914B0E91C}" name="Source" dataDxfId="21"/>
    <tableColumn id="2" xr3:uid="{916455D4-46EB-0C45-A82F-419F05EED780}" name="Winery" dataDxfId="20"/>
    <tableColumn id="3" xr3:uid="{C4ED4594-5892-484B-B298-FC8C341B2072}" name="Wine name" dataDxfId="19"/>
    <tableColumn id="4" xr3:uid="{E3AC2856-F544-474A-B3F0-6E157E403302}" name="Palacio" dataDxfId="18"/>
    <tableColumn id="5" xr3:uid="{D60E257C-EB5F-AF48-9E0D-1130969E9C83}" name="Wine type" dataDxfId="17"/>
    <tableColumn id="6" xr3:uid="{D8FC6C81-50BA-E948-931C-FDD1386B105E}" name="Region" dataDxfId="16"/>
    <tableColumn id="7" xr3:uid="{2D771DEC-543B-104F-94AD-29531726A0AC}" name="Country" dataDxfId="15"/>
    <tableColumn id="8" xr3:uid="{4FAE469B-CA41-3C42-90C1-E5DB44E68C91}" name="Regional wine style" dataDxfId="14"/>
    <tableColumn id="9" xr3:uid="{3E512B64-EDFC-2B4D-A388-C8E7879EAB51}" name="Average rating" dataDxfId="13"/>
    <tableColumn id="10" xr3:uid="{A934AC21-24E6-854B-BFA3-F749E7DEF6A6}" name="Wine ratings count" dataDxfId="12"/>
    <tableColumn id="11" xr3:uid="{459E6434-DE3B-4449-85C4-112E1D4C119B}" name="Your rating" dataDxfId="11"/>
    <tableColumn id="12" xr3:uid="{740B6C6C-DFD4-B74D-8814-194EC16897D3}" name="Your review" dataDxfId="10"/>
    <tableColumn id="13" xr3:uid="{5CB87BEC-E8B9-254C-8EF0-4F00DACF0293}" name="Personal Note" dataDxfId="9"/>
    <tableColumn id="21" xr3:uid="{FC80A247-5924-9340-9BAD-57C7F737BBDF}" name="Waar is de wijn nu" dataDxfId="0">
      <calculatedColumnFormula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calculatedColumnFormula>
    </tableColumn>
    <tableColumn id="15" xr3:uid="{4E8431CC-3CBE-C141-B380-DA197DB44E25}" name="User cellar count" dataDxfId="8"/>
    <tableColumn id="16" xr3:uid="{D46553BC-BB34-DE40-ABED-FAF2B27410D9}" name="Wishlisted date" dataDxfId="7"/>
    <tableColumn id="17" xr3:uid="{62D35B2A-C6F3-4949-B05B-D7B150AD3504}" name="Scan date" dataDxfId="6"/>
    <tableColumn id="18" xr3:uid="{8434C7FD-7B5C-E84E-B628-FD161EE0191B}" name="Scan/Review Location" dataDxfId="5"/>
    <tableColumn id="19" xr3:uid="{F67A34D4-543E-CB46-8666-B485E23F1FA8}" name="Link to wine" dataDxfId="4"/>
    <tableColumn id="20" xr3:uid="{37443CBD-BD67-554B-A0AA-ABA6F9829A9D}" name="Label image" dataDxfId="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70E5D2-CA53-A64B-99AC-FFFCFCA4A6D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45fe386-a1ad-4f1c-8ae3-2bda58460f0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images.vivino.com/labels/aW9AbKmuTJyYObN7MFDXvQ.jpg" TargetMode="External"/><Relationship Id="rId1" Type="http://schemas.openxmlformats.org/officeDocument/2006/relationships/hyperlink" Target="https://www.vivino.com/wines/165582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0"/>
  <sheetViews>
    <sheetView tabSelected="1" zoomScale="150" workbookViewId="0">
      <pane ySplit="1" topLeftCell="A20" activePane="bottomLeft" state="frozen"/>
      <selection pane="bottomLeft" activeCell="C24" sqref="C24"/>
    </sheetView>
  </sheetViews>
  <sheetFormatPr baseColWidth="10" defaultColWidth="8.83203125" defaultRowHeight="15" x14ac:dyDescent="0.2"/>
  <cols>
    <col min="1" max="1" width="12" style="10" bestFit="1" customWidth="1"/>
    <col min="2" max="2" width="42.1640625" style="10" bestFit="1" customWidth="1"/>
    <col min="3" max="3" width="58.33203125" style="10" bestFit="1" customWidth="1"/>
    <col min="4" max="4" width="12.33203125" style="10" hidden="1" customWidth="1"/>
    <col min="5" max="5" width="14.1640625" style="10" hidden="1" customWidth="1"/>
    <col min="6" max="6" width="29" style="10" hidden="1" customWidth="1"/>
    <col min="7" max="7" width="12.5" style="10" hidden="1" customWidth="1"/>
    <col min="8" max="8" width="31.33203125" style="10" hidden="1" customWidth="1"/>
    <col min="9" max="9" width="13.83203125" style="10" hidden="1" customWidth="1"/>
    <col min="10" max="10" width="17" style="10" hidden="1" customWidth="1"/>
    <col min="11" max="11" width="15.1640625" style="10" hidden="1" customWidth="1"/>
    <col min="12" max="12" width="89.33203125" style="10" hidden="1" customWidth="1"/>
    <col min="13" max="14" width="36" style="10" customWidth="1"/>
    <col min="15" max="15" width="20.1640625" style="10" bestFit="1" customWidth="1"/>
    <col min="16" max="16" width="18.6640625" style="10" bestFit="1" customWidth="1"/>
    <col min="17" max="17" width="17.83203125" style="10" bestFit="1" customWidth="1"/>
    <col min="18" max="18" width="26.1640625" style="10" bestFit="1" customWidth="1"/>
    <col min="19" max="19" width="33.5" style="10" bestFit="1" customWidth="1"/>
    <col min="20" max="20" width="55.83203125" style="10" bestFit="1" customWidth="1"/>
    <col min="21" max="16384" width="8.83203125" style="10"/>
  </cols>
  <sheetData>
    <row r="1" spans="1:20" x14ac:dyDescent="0.2">
      <c r="A1" s="9" t="s">
        <v>0</v>
      </c>
      <c r="B1" s="9" t="s">
        <v>1</v>
      </c>
      <c r="C1" s="9" t="s">
        <v>2</v>
      </c>
      <c r="D1" s="9" t="s">
        <v>1144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1143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9" t="s">
        <v>17</v>
      </c>
    </row>
    <row r="2" spans="1:20" ht="42" x14ac:dyDescent="0.2">
      <c r="A2" s="11" t="s">
        <v>18</v>
      </c>
      <c r="B2" s="11" t="s">
        <v>19</v>
      </c>
      <c r="C2" s="11" t="s">
        <v>20</v>
      </c>
      <c r="D2" s="11">
        <v>2014</v>
      </c>
      <c r="E2" s="11" t="s">
        <v>21</v>
      </c>
      <c r="F2" s="11" t="s">
        <v>22</v>
      </c>
      <c r="G2" s="11" t="s">
        <v>23</v>
      </c>
      <c r="H2" s="11" t="s">
        <v>24</v>
      </c>
      <c r="I2" s="11">
        <v>4.2</v>
      </c>
      <c r="J2" s="11">
        <v>17</v>
      </c>
      <c r="K2" s="11"/>
      <c r="L2" s="12"/>
      <c r="M2" s="12" t="s">
        <v>25</v>
      </c>
      <c r="N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C10 - D10</v>
      </c>
      <c r="O2" s="11">
        <v>2</v>
      </c>
      <c r="P2" s="11"/>
      <c r="Q2" s="11" t="s">
        <v>26</v>
      </c>
      <c r="R2" s="11"/>
      <c r="S2" s="13" t="s">
        <v>27</v>
      </c>
      <c r="T2" s="13" t="s">
        <v>28</v>
      </c>
    </row>
    <row r="3" spans="1:20" x14ac:dyDescent="0.2">
      <c r="A3" s="11" t="s">
        <v>29</v>
      </c>
      <c r="B3" s="11" t="s">
        <v>30</v>
      </c>
      <c r="C3" s="11" t="s">
        <v>31</v>
      </c>
      <c r="D3" s="11">
        <v>2018</v>
      </c>
      <c r="E3" s="11" t="s">
        <v>21</v>
      </c>
      <c r="F3" s="11" t="s">
        <v>31</v>
      </c>
      <c r="G3" s="11" t="s">
        <v>23</v>
      </c>
      <c r="H3" s="11" t="s">
        <v>32</v>
      </c>
      <c r="I3" s="11">
        <v>3.9</v>
      </c>
      <c r="J3" s="11"/>
      <c r="K3" s="11">
        <v>4.5</v>
      </c>
      <c r="L3" s="12" t="s">
        <v>33</v>
      </c>
      <c r="M3" s="12"/>
      <c r="N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" s="11"/>
      <c r="P3" s="11"/>
      <c r="Q3" s="11" t="s">
        <v>34</v>
      </c>
      <c r="R3" s="11"/>
      <c r="S3" s="11" t="s">
        <v>35</v>
      </c>
      <c r="T3" s="11" t="s">
        <v>36</v>
      </c>
    </row>
    <row r="4" spans="1:20" x14ac:dyDescent="0.2">
      <c r="A4" s="11" t="s">
        <v>37</v>
      </c>
      <c r="B4" s="11" t="s">
        <v>30</v>
      </c>
      <c r="C4" s="11" t="s">
        <v>31</v>
      </c>
      <c r="D4" s="11">
        <v>2018</v>
      </c>
      <c r="E4" s="11" t="s">
        <v>21</v>
      </c>
      <c r="F4" s="11" t="s">
        <v>31</v>
      </c>
      <c r="G4" s="11" t="s">
        <v>23</v>
      </c>
      <c r="H4" s="11" t="s">
        <v>32</v>
      </c>
      <c r="I4" s="11">
        <v>3.9</v>
      </c>
      <c r="J4" s="11"/>
      <c r="K4" s="11">
        <v>4.5</v>
      </c>
      <c r="L4" s="12" t="s">
        <v>33</v>
      </c>
      <c r="M4" s="12"/>
      <c r="N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" s="11"/>
      <c r="P4" s="11" t="s">
        <v>38</v>
      </c>
      <c r="Q4" s="11" t="s">
        <v>34</v>
      </c>
      <c r="R4" s="11"/>
      <c r="S4" s="11" t="s">
        <v>35</v>
      </c>
      <c r="T4" s="11" t="s">
        <v>36</v>
      </c>
    </row>
    <row r="5" spans="1:20" ht="84" x14ac:dyDescent="0.2">
      <c r="A5" s="11" t="s">
        <v>18</v>
      </c>
      <c r="B5" s="11" t="s">
        <v>39</v>
      </c>
      <c r="C5" s="11" t="s">
        <v>40</v>
      </c>
      <c r="D5" s="11">
        <v>2018</v>
      </c>
      <c r="E5" s="11" t="s">
        <v>21</v>
      </c>
      <c r="F5" s="11" t="s">
        <v>41</v>
      </c>
      <c r="G5" s="11" t="s">
        <v>23</v>
      </c>
      <c r="H5" s="11" t="s">
        <v>42</v>
      </c>
      <c r="I5" s="11">
        <v>3.8</v>
      </c>
      <c r="J5" s="11">
        <v>41</v>
      </c>
      <c r="K5" s="11"/>
      <c r="L5" s="12"/>
      <c r="M5" s="12" t="s">
        <v>43</v>
      </c>
      <c r="N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E10</v>
      </c>
      <c r="O5" s="11">
        <v>1</v>
      </c>
      <c r="P5" s="11"/>
      <c r="Q5" s="11" t="s">
        <v>44</v>
      </c>
      <c r="R5" s="11"/>
      <c r="S5" s="11" t="s">
        <v>45</v>
      </c>
      <c r="T5" s="11" t="s">
        <v>46</v>
      </c>
    </row>
    <row r="6" spans="1:20" x14ac:dyDescent="0.2">
      <c r="A6" s="11" t="s">
        <v>29</v>
      </c>
      <c r="B6" s="11" t="s">
        <v>47</v>
      </c>
      <c r="C6" s="11" t="s">
        <v>48</v>
      </c>
      <c r="D6" s="11"/>
      <c r="E6" s="11" t="s">
        <v>21</v>
      </c>
      <c r="F6" s="11" t="s">
        <v>49</v>
      </c>
      <c r="G6" s="11" t="s">
        <v>23</v>
      </c>
      <c r="H6" s="11"/>
      <c r="I6" s="11">
        <v>4.0999999999999996</v>
      </c>
      <c r="J6" s="11"/>
      <c r="K6" s="11"/>
      <c r="L6" s="12"/>
      <c r="M6" s="12" t="s">
        <v>50</v>
      </c>
      <c r="N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" s="11"/>
      <c r="P6" s="11"/>
      <c r="Q6" s="11" t="s">
        <v>51</v>
      </c>
      <c r="R6" s="11"/>
      <c r="S6" s="11" t="s">
        <v>52</v>
      </c>
      <c r="T6" s="11" t="s">
        <v>53</v>
      </c>
    </row>
    <row r="7" spans="1:20" ht="70" x14ac:dyDescent="0.2">
      <c r="A7" s="11" t="s">
        <v>29</v>
      </c>
      <c r="B7" s="11" t="s">
        <v>54</v>
      </c>
      <c r="C7" s="11" t="s">
        <v>55</v>
      </c>
      <c r="D7" s="11">
        <v>2011</v>
      </c>
      <c r="E7" s="11" t="s">
        <v>21</v>
      </c>
      <c r="F7" s="11" t="s">
        <v>22</v>
      </c>
      <c r="G7" s="11" t="s">
        <v>23</v>
      </c>
      <c r="H7" s="11"/>
      <c r="I7" s="11">
        <v>4.3</v>
      </c>
      <c r="J7" s="11"/>
      <c r="K7" s="11"/>
      <c r="L7" s="12"/>
      <c r="M7" s="12" t="s">
        <v>56</v>
      </c>
      <c r="N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7" s="11"/>
      <c r="P7" s="11"/>
      <c r="Q7" s="11" t="s">
        <v>57</v>
      </c>
      <c r="R7" s="11"/>
      <c r="S7" s="11" t="s">
        <v>58</v>
      </c>
      <c r="T7" s="11" t="s">
        <v>59</v>
      </c>
    </row>
    <row r="8" spans="1:20" ht="70" x14ac:dyDescent="0.2">
      <c r="A8" s="11" t="s">
        <v>18</v>
      </c>
      <c r="B8" s="11" t="s">
        <v>60</v>
      </c>
      <c r="C8" s="11" t="s">
        <v>61</v>
      </c>
      <c r="D8" s="11">
        <v>2018</v>
      </c>
      <c r="E8" s="11" t="s">
        <v>21</v>
      </c>
      <c r="F8" s="11" t="s">
        <v>22</v>
      </c>
      <c r="G8" s="11" t="s">
        <v>23</v>
      </c>
      <c r="H8" s="11" t="s">
        <v>62</v>
      </c>
      <c r="I8" s="11">
        <v>4.3</v>
      </c>
      <c r="J8" s="11">
        <v>133</v>
      </c>
      <c r="K8" s="11"/>
      <c r="L8" s="12"/>
      <c r="M8" s="12" t="s">
        <v>63</v>
      </c>
      <c r="N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F10 - G10 - H10 - I10</v>
      </c>
      <c r="O8" s="11">
        <v>4</v>
      </c>
      <c r="P8" s="11"/>
      <c r="Q8" s="11" t="s">
        <v>64</v>
      </c>
      <c r="R8" s="11"/>
      <c r="S8" s="11" t="s">
        <v>65</v>
      </c>
      <c r="T8" s="11" t="s">
        <v>66</v>
      </c>
    </row>
    <row r="9" spans="1:20" x14ac:dyDescent="0.2">
      <c r="A9" s="11" t="s">
        <v>29</v>
      </c>
      <c r="B9" s="11" t="s">
        <v>67</v>
      </c>
      <c r="C9" s="11" t="s">
        <v>68</v>
      </c>
      <c r="D9" s="11">
        <v>2016</v>
      </c>
      <c r="E9" s="11" t="s">
        <v>21</v>
      </c>
      <c r="F9" s="11" t="s">
        <v>31</v>
      </c>
      <c r="G9" s="11" t="s">
        <v>23</v>
      </c>
      <c r="H9" s="11" t="s">
        <v>32</v>
      </c>
      <c r="I9" s="11">
        <v>4.0999999999999996</v>
      </c>
      <c r="J9" s="11"/>
      <c r="K9" s="11"/>
      <c r="L9" s="12"/>
      <c r="M9" s="12" t="s">
        <v>50</v>
      </c>
      <c r="N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9" s="11"/>
      <c r="P9" s="11"/>
      <c r="Q9" s="11" t="s">
        <v>69</v>
      </c>
      <c r="R9" s="11"/>
      <c r="S9" s="11" t="s">
        <v>70</v>
      </c>
      <c r="T9" s="11" t="s">
        <v>71</v>
      </c>
    </row>
    <row r="10" spans="1:20" ht="56" x14ac:dyDescent="0.2">
      <c r="A10" s="11" t="s">
        <v>18</v>
      </c>
      <c r="B10" s="11" t="s">
        <v>72</v>
      </c>
      <c r="C10" s="11" t="s">
        <v>73</v>
      </c>
      <c r="D10" s="11">
        <v>2018</v>
      </c>
      <c r="E10" s="11" t="s">
        <v>21</v>
      </c>
      <c r="F10" s="11" t="s">
        <v>74</v>
      </c>
      <c r="G10" s="11" t="s">
        <v>75</v>
      </c>
      <c r="H10" s="11"/>
      <c r="I10" s="11">
        <v>3.9</v>
      </c>
      <c r="J10" s="11">
        <v>308</v>
      </c>
      <c r="K10" s="11"/>
      <c r="L10" s="12"/>
      <c r="M10" s="12" t="s">
        <v>76</v>
      </c>
      <c r="N1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" s="11">
        <v>1</v>
      </c>
      <c r="P10" s="11"/>
      <c r="Q10" s="11" t="s">
        <v>77</v>
      </c>
      <c r="R10" s="11"/>
      <c r="S10" s="11" t="s">
        <v>78</v>
      </c>
      <c r="T10" s="11" t="s">
        <v>79</v>
      </c>
    </row>
    <row r="11" spans="1:20" ht="42" x14ac:dyDescent="0.2">
      <c r="A11" s="11" t="s">
        <v>29</v>
      </c>
      <c r="B11" s="11" t="s">
        <v>80</v>
      </c>
      <c r="C11" s="11" t="s">
        <v>81</v>
      </c>
      <c r="D11" s="11">
        <v>2018</v>
      </c>
      <c r="E11" s="11" t="s">
        <v>21</v>
      </c>
      <c r="F11" s="11" t="s">
        <v>82</v>
      </c>
      <c r="G11" s="11" t="s">
        <v>83</v>
      </c>
      <c r="H11" s="11"/>
      <c r="I11" s="11">
        <v>4.2</v>
      </c>
      <c r="J11" s="11"/>
      <c r="K11" s="11"/>
      <c r="L11" s="12"/>
      <c r="M11" s="12" t="s">
        <v>84</v>
      </c>
      <c r="N1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J3</v>
      </c>
      <c r="O11" s="11"/>
      <c r="P11" s="11"/>
      <c r="Q11" s="11" t="s">
        <v>85</v>
      </c>
      <c r="R11" s="11"/>
      <c r="S11" s="11" t="s">
        <v>86</v>
      </c>
      <c r="T11" s="11" t="s">
        <v>87</v>
      </c>
    </row>
    <row r="12" spans="1:20" ht="42" x14ac:dyDescent="0.2">
      <c r="A12" s="11" t="s">
        <v>18</v>
      </c>
      <c r="B12" s="11" t="s">
        <v>80</v>
      </c>
      <c r="C12" s="11" t="s">
        <v>88</v>
      </c>
      <c r="D12" s="11">
        <v>2020</v>
      </c>
      <c r="E12" s="11" t="s">
        <v>21</v>
      </c>
      <c r="F12" s="11" t="s">
        <v>89</v>
      </c>
      <c r="G12" s="11" t="s">
        <v>90</v>
      </c>
      <c r="H12" s="11"/>
      <c r="I12" s="11"/>
      <c r="J12" s="11">
        <v>0</v>
      </c>
      <c r="K12" s="11"/>
      <c r="L12" s="12"/>
      <c r="M12" s="12" t="s">
        <v>91</v>
      </c>
      <c r="N1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12" s="11">
        <v>1</v>
      </c>
      <c r="P12" s="11"/>
      <c r="Q12" s="11" t="s">
        <v>92</v>
      </c>
      <c r="R12" s="11"/>
      <c r="S12" s="11" t="s">
        <v>93</v>
      </c>
      <c r="T12" s="11" t="s">
        <v>94</v>
      </c>
    </row>
    <row r="13" spans="1:20" ht="42" x14ac:dyDescent="0.2">
      <c r="A13" s="11" t="s">
        <v>18</v>
      </c>
      <c r="B13" s="11" t="s">
        <v>95</v>
      </c>
      <c r="C13" s="11" t="s">
        <v>96</v>
      </c>
      <c r="D13" s="11">
        <v>2020</v>
      </c>
      <c r="E13" s="11" t="s">
        <v>97</v>
      </c>
      <c r="F13" s="11" t="s">
        <v>98</v>
      </c>
      <c r="G13" s="11" t="s">
        <v>23</v>
      </c>
      <c r="H13" s="11"/>
      <c r="I13" s="11">
        <v>3.8</v>
      </c>
      <c r="J13" s="11">
        <v>752</v>
      </c>
      <c r="K13" s="11"/>
      <c r="L13" s="12"/>
      <c r="M13" s="12" t="s">
        <v>99</v>
      </c>
      <c r="N1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A6</v>
      </c>
      <c r="O13" s="11">
        <v>1</v>
      </c>
      <c r="P13" s="11"/>
      <c r="Q13" s="11" t="s">
        <v>100</v>
      </c>
      <c r="R13" s="11"/>
      <c r="S13" s="11" t="s">
        <v>101</v>
      </c>
      <c r="T13" s="11" t="s">
        <v>102</v>
      </c>
    </row>
    <row r="14" spans="1:20" ht="56" x14ac:dyDescent="0.2">
      <c r="A14" s="11" t="s">
        <v>18</v>
      </c>
      <c r="B14" s="11" t="s">
        <v>103</v>
      </c>
      <c r="C14" s="11" t="s">
        <v>104</v>
      </c>
      <c r="D14" s="11">
        <v>2017</v>
      </c>
      <c r="E14" s="11" t="s">
        <v>97</v>
      </c>
      <c r="F14" s="11" t="s">
        <v>105</v>
      </c>
      <c r="G14" s="11" t="s">
        <v>23</v>
      </c>
      <c r="H14" s="11" t="s">
        <v>106</v>
      </c>
      <c r="I14" s="11">
        <v>4.0999999999999996</v>
      </c>
      <c r="J14" s="11">
        <v>849</v>
      </c>
      <c r="K14" s="11"/>
      <c r="L14" s="12"/>
      <c r="M14" s="12" t="s">
        <v>107</v>
      </c>
      <c r="N1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D3</v>
      </c>
      <c r="O14" s="11">
        <v>1</v>
      </c>
      <c r="P14" s="11"/>
      <c r="Q14" s="11" t="s">
        <v>108</v>
      </c>
      <c r="R14" s="11"/>
      <c r="S14" s="11" t="s">
        <v>109</v>
      </c>
      <c r="T14" s="11" t="s">
        <v>110</v>
      </c>
    </row>
    <row r="15" spans="1:20" ht="84" x14ac:dyDescent="0.2">
      <c r="A15" s="11" t="s">
        <v>18</v>
      </c>
      <c r="B15" s="11" t="s">
        <v>111</v>
      </c>
      <c r="C15" s="11" t="s">
        <v>112</v>
      </c>
      <c r="D15" s="11">
        <v>2022</v>
      </c>
      <c r="E15" s="11" t="s">
        <v>97</v>
      </c>
      <c r="F15" s="11" t="s">
        <v>113</v>
      </c>
      <c r="G15" s="11" t="s">
        <v>23</v>
      </c>
      <c r="H15" s="11"/>
      <c r="I15" s="11">
        <v>4</v>
      </c>
      <c r="J15" s="11">
        <v>356</v>
      </c>
      <c r="K15" s="11"/>
      <c r="L15" s="12"/>
      <c r="M15" s="12" t="s">
        <v>114</v>
      </c>
      <c r="N1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E3, J1, Dessertwijn</v>
      </c>
      <c r="O15" s="11">
        <v>2</v>
      </c>
      <c r="P15" s="11"/>
      <c r="Q15" s="11" t="s">
        <v>115</v>
      </c>
      <c r="R15" s="11"/>
      <c r="S15" s="11" t="s">
        <v>116</v>
      </c>
      <c r="T15" s="11" t="s">
        <v>117</v>
      </c>
    </row>
    <row r="16" spans="1:20" ht="70" x14ac:dyDescent="0.2">
      <c r="A16" s="11" t="s">
        <v>18</v>
      </c>
      <c r="B16" s="11" t="s">
        <v>118</v>
      </c>
      <c r="C16" s="11" t="s">
        <v>119</v>
      </c>
      <c r="D16" s="11">
        <v>2019</v>
      </c>
      <c r="E16" s="11" t="s">
        <v>97</v>
      </c>
      <c r="F16" s="11" t="s">
        <v>120</v>
      </c>
      <c r="G16" s="11" t="s">
        <v>23</v>
      </c>
      <c r="H16" s="11" t="s">
        <v>106</v>
      </c>
      <c r="I16" s="11">
        <v>4.4000000000000004</v>
      </c>
      <c r="J16" s="11">
        <v>1329</v>
      </c>
      <c r="K16" s="11"/>
      <c r="L16" s="12"/>
      <c r="M16" s="12" t="s">
        <v>121</v>
      </c>
      <c r="N1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J10</v>
      </c>
      <c r="O16" s="11">
        <v>1</v>
      </c>
      <c r="P16" s="11"/>
      <c r="Q16" s="11" t="s">
        <v>122</v>
      </c>
      <c r="R16" s="11"/>
      <c r="S16" s="11" t="s">
        <v>123</v>
      </c>
      <c r="T16" s="11" t="s">
        <v>124</v>
      </c>
    </row>
    <row r="17" spans="1:20" ht="84" x14ac:dyDescent="0.2">
      <c r="A17" s="11" t="s">
        <v>29</v>
      </c>
      <c r="B17" s="11" t="s">
        <v>125</v>
      </c>
      <c r="C17" s="11" t="s">
        <v>126</v>
      </c>
      <c r="D17" s="11">
        <v>2019</v>
      </c>
      <c r="E17" s="11" t="s">
        <v>127</v>
      </c>
      <c r="F17" s="11" t="s">
        <v>128</v>
      </c>
      <c r="G17" s="11" t="s">
        <v>75</v>
      </c>
      <c r="H17" s="11" t="s">
        <v>129</v>
      </c>
      <c r="I17" s="11">
        <v>3.6</v>
      </c>
      <c r="J17" s="11"/>
      <c r="K17" s="11"/>
      <c r="L17" s="12"/>
      <c r="M17" s="12" t="s">
        <v>130</v>
      </c>
      <c r="N1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" s="11"/>
      <c r="P17" s="11"/>
      <c r="Q17" s="11" t="s">
        <v>131</v>
      </c>
      <c r="R17" s="11"/>
      <c r="S17" s="11" t="s">
        <v>132</v>
      </c>
      <c r="T17" s="11" t="s">
        <v>133</v>
      </c>
    </row>
    <row r="18" spans="1:20" ht="56" x14ac:dyDescent="0.2">
      <c r="A18" s="11" t="s">
        <v>29</v>
      </c>
      <c r="B18" s="11" t="s">
        <v>134</v>
      </c>
      <c r="C18" s="11" t="s">
        <v>135</v>
      </c>
      <c r="D18" s="11">
        <v>2019</v>
      </c>
      <c r="E18" s="11" t="s">
        <v>127</v>
      </c>
      <c r="F18" s="11" t="s">
        <v>136</v>
      </c>
      <c r="G18" s="11" t="s">
        <v>75</v>
      </c>
      <c r="H18" s="11" t="s">
        <v>137</v>
      </c>
      <c r="I18" s="11">
        <v>3.8</v>
      </c>
      <c r="J18" s="11"/>
      <c r="K18" s="11"/>
      <c r="L18" s="12"/>
      <c r="M18" s="12" t="s">
        <v>138</v>
      </c>
      <c r="N1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</v>
      </c>
      <c r="O18" s="11"/>
      <c r="P18" s="11"/>
      <c r="Q18" s="11" t="s">
        <v>139</v>
      </c>
      <c r="R18" s="11"/>
      <c r="S18" s="11" t="s">
        <v>140</v>
      </c>
      <c r="T18" s="11" t="s">
        <v>141</v>
      </c>
    </row>
    <row r="19" spans="1:20" ht="98" x14ac:dyDescent="0.2">
      <c r="A19" s="11" t="s">
        <v>29</v>
      </c>
      <c r="B19" s="11" t="s">
        <v>142</v>
      </c>
      <c r="C19" s="11" t="s">
        <v>143</v>
      </c>
      <c r="D19" s="11">
        <v>2020</v>
      </c>
      <c r="E19" s="11" t="s">
        <v>127</v>
      </c>
      <c r="F19" s="11" t="s">
        <v>144</v>
      </c>
      <c r="G19" s="11" t="s">
        <v>75</v>
      </c>
      <c r="H19" s="11" t="s">
        <v>129</v>
      </c>
      <c r="I19" s="11">
        <v>3.7</v>
      </c>
      <c r="J19" s="11"/>
      <c r="K19" s="11"/>
      <c r="L19" s="12"/>
      <c r="M19" s="12" t="s">
        <v>145</v>
      </c>
      <c r="N1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A2</v>
      </c>
      <c r="O19" s="11"/>
      <c r="P19" s="11"/>
      <c r="Q19" s="11" t="s">
        <v>146</v>
      </c>
      <c r="R19" s="11"/>
      <c r="S19" s="11" t="s">
        <v>147</v>
      </c>
      <c r="T19" s="11" t="s">
        <v>148</v>
      </c>
    </row>
    <row r="20" spans="1:20" ht="70" x14ac:dyDescent="0.2">
      <c r="A20" s="11" t="s">
        <v>29</v>
      </c>
      <c r="B20" s="11" t="s">
        <v>149</v>
      </c>
      <c r="C20" s="11" t="s">
        <v>150</v>
      </c>
      <c r="D20" s="11">
        <v>2016</v>
      </c>
      <c r="E20" s="11" t="s">
        <v>127</v>
      </c>
      <c r="F20" s="11" t="s">
        <v>151</v>
      </c>
      <c r="G20" s="11" t="s">
        <v>152</v>
      </c>
      <c r="H20" s="11" t="s">
        <v>153</v>
      </c>
      <c r="I20" s="11">
        <v>3.9</v>
      </c>
      <c r="J20" s="11"/>
      <c r="K20" s="11">
        <v>4.5</v>
      </c>
      <c r="L20" s="12" t="s">
        <v>154</v>
      </c>
      <c r="M20" s="12" t="s">
        <v>155</v>
      </c>
      <c r="N2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2</v>
      </c>
      <c r="O20" s="11"/>
      <c r="P20" s="11"/>
      <c r="Q20" s="11" t="s">
        <v>156</v>
      </c>
      <c r="R20" s="11"/>
      <c r="S20" s="11" t="s">
        <v>157</v>
      </c>
      <c r="T20" s="11" t="s">
        <v>158</v>
      </c>
    </row>
    <row r="21" spans="1:20" ht="70" x14ac:dyDescent="0.2">
      <c r="A21" s="11" t="s">
        <v>29</v>
      </c>
      <c r="B21" s="11" t="s">
        <v>159</v>
      </c>
      <c r="C21" s="11" t="s">
        <v>160</v>
      </c>
      <c r="D21" s="11">
        <v>2018</v>
      </c>
      <c r="E21" s="11" t="s">
        <v>127</v>
      </c>
      <c r="F21" s="11" t="s">
        <v>161</v>
      </c>
      <c r="G21" s="11" t="s">
        <v>162</v>
      </c>
      <c r="H21" s="11" t="s">
        <v>163</v>
      </c>
      <c r="I21" s="11">
        <v>3.6</v>
      </c>
      <c r="J21" s="11"/>
      <c r="K21" s="11"/>
      <c r="L21" s="12"/>
      <c r="M21" s="12" t="s">
        <v>164</v>
      </c>
      <c r="N2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1d</v>
      </c>
      <c r="O21" s="11"/>
      <c r="P21" s="11"/>
      <c r="Q21" s="11" t="s">
        <v>165</v>
      </c>
      <c r="R21" s="11"/>
      <c r="S21" s="11" t="s">
        <v>166</v>
      </c>
      <c r="T21" s="11" t="s">
        <v>167</v>
      </c>
    </row>
    <row r="22" spans="1:20" ht="56" x14ac:dyDescent="0.2">
      <c r="A22" s="11" t="s">
        <v>29</v>
      </c>
      <c r="B22" s="11" t="s">
        <v>168</v>
      </c>
      <c r="C22" s="11" t="s">
        <v>169</v>
      </c>
      <c r="D22" s="11">
        <v>2018</v>
      </c>
      <c r="E22" s="11" t="s">
        <v>127</v>
      </c>
      <c r="F22" s="11" t="s">
        <v>170</v>
      </c>
      <c r="G22" s="11" t="s">
        <v>152</v>
      </c>
      <c r="H22" s="11" t="s">
        <v>171</v>
      </c>
      <c r="I22" s="11">
        <v>3.3</v>
      </c>
      <c r="J22" s="11"/>
      <c r="K22" s="11"/>
      <c r="L22" s="12"/>
      <c r="M22" s="12" t="s">
        <v>172</v>
      </c>
      <c r="N2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</v>
      </c>
      <c r="O22" s="11"/>
      <c r="P22" s="11"/>
      <c r="Q22" s="11" t="s">
        <v>173</v>
      </c>
      <c r="R22" s="11"/>
      <c r="S22" s="11" t="s">
        <v>174</v>
      </c>
      <c r="T22" s="11" t="s">
        <v>175</v>
      </c>
    </row>
    <row r="23" spans="1:20" x14ac:dyDescent="0.2">
      <c r="A23" s="11" t="s">
        <v>29</v>
      </c>
      <c r="B23" s="11" t="s">
        <v>168</v>
      </c>
      <c r="C23" s="11" t="s">
        <v>169</v>
      </c>
      <c r="D23" s="11">
        <v>2020</v>
      </c>
      <c r="E23" s="11" t="s">
        <v>127</v>
      </c>
      <c r="F23" s="11" t="s">
        <v>170</v>
      </c>
      <c r="G23" s="11" t="s">
        <v>152</v>
      </c>
      <c r="H23" s="11" t="s">
        <v>171</v>
      </c>
      <c r="I23" s="11">
        <v>3.3</v>
      </c>
      <c r="J23" s="11"/>
      <c r="K23" s="11"/>
      <c r="L23" s="12"/>
      <c r="M23" s="12"/>
      <c r="N2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3" s="11"/>
      <c r="P23" s="11"/>
      <c r="Q23" s="11" t="s">
        <v>176</v>
      </c>
      <c r="R23" s="11"/>
      <c r="S23" s="11" t="s">
        <v>177</v>
      </c>
      <c r="T23" s="11" t="s">
        <v>178</v>
      </c>
    </row>
    <row r="24" spans="1:20" ht="70" x14ac:dyDescent="0.2">
      <c r="A24" s="11" t="s">
        <v>18</v>
      </c>
      <c r="B24" s="11" t="s">
        <v>179</v>
      </c>
      <c r="C24" s="11" t="s">
        <v>180</v>
      </c>
      <c r="D24" s="11"/>
      <c r="E24" s="11" t="s">
        <v>127</v>
      </c>
      <c r="F24" s="11" t="s">
        <v>181</v>
      </c>
      <c r="G24" s="11" t="s">
        <v>182</v>
      </c>
      <c r="H24" s="11" t="s">
        <v>183</v>
      </c>
      <c r="I24" s="11">
        <v>3.7</v>
      </c>
      <c r="J24" s="11">
        <v>189</v>
      </c>
      <c r="K24" s="11">
        <v>4.5999999999999996</v>
      </c>
      <c r="L24" s="12" t="s">
        <v>184</v>
      </c>
      <c r="M24" s="12" t="s">
        <v>185</v>
      </c>
      <c r="N2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, Doos 3: 6</v>
      </c>
      <c r="O24" s="11">
        <v>6</v>
      </c>
      <c r="P24" s="11"/>
      <c r="Q24" s="11" t="s">
        <v>186</v>
      </c>
      <c r="R24" s="11"/>
      <c r="S24" s="11" t="s">
        <v>187</v>
      </c>
      <c r="T24" s="11" t="s">
        <v>188</v>
      </c>
    </row>
    <row r="25" spans="1:20" ht="84" x14ac:dyDescent="0.2">
      <c r="A25" s="11" t="s">
        <v>18</v>
      </c>
      <c r="B25" s="11" t="s">
        <v>189</v>
      </c>
      <c r="C25" s="11" t="s">
        <v>190</v>
      </c>
      <c r="D25" s="11">
        <v>2016</v>
      </c>
      <c r="E25" s="11" t="s">
        <v>127</v>
      </c>
      <c r="F25" s="11" t="s">
        <v>190</v>
      </c>
      <c r="G25" s="11" t="s">
        <v>23</v>
      </c>
      <c r="H25" s="11" t="s">
        <v>191</v>
      </c>
      <c r="I25" s="11">
        <v>4</v>
      </c>
      <c r="J25" s="11">
        <v>4410</v>
      </c>
      <c r="K25" s="11"/>
      <c r="L25" s="12"/>
      <c r="M25" s="12" t="s">
        <v>192</v>
      </c>
      <c r="N2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F1</v>
      </c>
      <c r="O25" s="11">
        <v>1</v>
      </c>
      <c r="P25" s="11"/>
      <c r="Q25" s="11" t="s">
        <v>193</v>
      </c>
      <c r="R25" s="11"/>
      <c r="S25" s="11" t="s">
        <v>194</v>
      </c>
      <c r="T25" s="11" t="s">
        <v>195</v>
      </c>
    </row>
    <row r="26" spans="1:20" ht="42" x14ac:dyDescent="0.2">
      <c r="A26" s="11" t="s">
        <v>29</v>
      </c>
      <c r="B26" s="11" t="s">
        <v>196</v>
      </c>
      <c r="C26" s="11" t="s">
        <v>190</v>
      </c>
      <c r="D26" s="11">
        <v>2016</v>
      </c>
      <c r="E26" s="11" t="s">
        <v>127</v>
      </c>
      <c r="F26" s="11" t="s">
        <v>190</v>
      </c>
      <c r="G26" s="11" t="s">
        <v>23</v>
      </c>
      <c r="H26" s="11" t="s">
        <v>191</v>
      </c>
      <c r="I26" s="11">
        <v>4</v>
      </c>
      <c r="J26" s="11"/>
      <c r="K26" s="11"/>
      <c r="L26" s="12"/>
      <c r="M26" s="12" t="s">
        <v>197</v>
      </c>
      <c r="N2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6" s="11"/>
      <c r="P26" s="11"/>
      <c r="Q26" s="11" t="s">
        <v>198</v>
      </c>
      <c r="R26" s="11"/>
      <c r="S26" s="11" t="s">
        <v>199</v>
      </c>
      <c r="T26" s="11" t="s">
        <v>200</v>
      </c>
    </row>
    <row r="27" spans="1:20" ht="42" x14ac:dyDescent="0.2">
      <c r="A27" s="11" t="s">
        <v>29</v>
      </c>
      <c r="B27" s="11" t="s">
        <v>201</v>
      </c>
      <c r="C27" s="11" t="s">
        <v>190</v>
      </c>
      <c r="D27" s="11">
        <v>2015</v>
      </c>
      <c r="E27" s="11" t="s">
        <v>127</v>
      </c>
      <c r="F27" s="11" t="s">
        <v>190</v>
      </c>
      <c r="G27" s="11" t="s">
        <v>23</v>
      </c>
      <c r="H27" s="11" t="s">
        <v>191</v>
      </c>
      <c r="I27" s="11">
        <v>4</v>
      </c>
      <c r="J27" s="11"/>
      <c r="K27" s="11">
        <v>4.5</v>
      </c>
      <c r="L27" s="12" t="s">
        <v>202</v>
      </c>
      <c r="M27" s="12" t="s">
        <v>203</v>
      </c>
      <c r="N2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7" s="11"/>
      <c r="P27" s="11"/>
      <c r="Q27" s="11" t="s">
        <v>204</v>
      </c>
      <c r="R27" s="11"/>
      <c r="S27" s="11" t="s">
        <v>205</v>
      </c>
      <c r="T27" s="11" t="s">
        <v>206</v>
      </c>
    </row>
    <row r="28" spans="1:20" ht="42" x14ac:dyDescent="0.2">
      <c r="A28" s="11" t="s">
        <v>37</v>
      </c>
      <c r="B28" s="11" t="s">
        <v>201</v>
      </c>
      <c r="C28" s="11" t="s">
        <v>190</v>
      </c>
      <c r="D28" s="11">
        <v>2015</v>
      </c>
      <c r="E28" s="11" t="s">
        <v>127</v>
      </c>
      <c r="F28" s="11" t="s">
        <v>190</v>
      </c>
      <c r="G28" s="11" t="s">
        <v>23</v>
      </c>
      <c r="H28" s="11" t="s">
        <v>191</v>
      </c>
      <c r="I28" s="11">
        <v>4</v>
      </c>
      <c r="J28" s="11"/>
      <c r="K28" s="11">
        <v>4.5</v>
      </c>
      <c r="L28" s="12" t="s">
        <v>202</v>
      </c>
      <c r="M28" s="12" t="s">
        <v>203</v>
      </c>
      <c r="N2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8" s="11"/>
      <c r="P28" s="11" t="s">
        <v>207</v>
      </c>
      <c r="Q28" s="11" t="s">
        <v>204</v>
      </c>
      <c r="R28" s="11"/>
      <c r="S28" s="11" t="s">
        <v>205</v>
      </c>
      <c r="T28" s="11" t="s">
        <v>206</v>
      </c>
    </row>
    <row r="29" spans="1:20" ht="84" x14ac:dyDescent="0.2">
      <c r="A29" s="11" t="s">
        <v>29</v>
      </c>
      <c r="B29" s="11" t="s">
        <v>208</v>
      </c>
      <c r="C29" s="11" t="s">
        <v>209</v>
      </c>
      <c r="D29" s="11">
        <v>2009</v>
      </c>
      <c r="E29" s="11" t="s">
        <v>127</v>
      </c>
      <c r="F29" s="11" t="s">
        <v>210</v>
      </c>
      <c r="G29" s="11" t="s">
        <v>23</v>
      </c>
      <c r="H29" s="11" t="s">
        <v>211</v>
      </c>
      <c r="I29" s="11">
        <v>3.5</v>
      </c>
      <c r="J29" s="11"/>
      <c r="K29" s="11"/>
      <c r="L29" s="12"/>
      <c r="M29" s="12" t="s">
        <v>212</v>
      </c>
      <c r="N2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9" s="11"/>
      <c r="P29" s="11"/>
      <c r="Q29" s="11" t="s">
        <v>213</v>
      </c>
      <c r="R29" s="11"/>
      <c r="S29" s="11" t="s">
        <v>214</v>
      </c>
      <c r="T29" s="11" t="s">
        <v>215</v>
      </c>
    </row>
    <row r="30" spans="1:20" ht="42" x14ac:dyDescent="0.2">
      <c r="A30" s="11" t="s">
        <v>18</v>
      </c>
      <c r="B30" s="11" t="s">
        <v>216</v>
      </c>
      <c r="C30" s="11" t="s">
        <v>190</v>
      </c>
      <c r="D30" s="11">
        <v>2018</v>
      </c>
      <c r="E30" s="11" t="s">
        <v>127</v>
      </c>
      <c r="F30" s="11" t="s">
        <v>190</v>
      </c>
      <c r="G30" s="11" t="s">
        <v>23</v>
      </c>
      <c r="H30" s="11" t="s">
        <v>191</v>
      </c>
      <c r="I30" s="11">
        <v>3.9</v>
      </c>
      <c r="J30" s="11">
        <v>603</v>
      </c>
      <c r="K30" s="11"/>
      <c r="L30" s="12"/>
      <c r="M30" s="12" t="s">
        <v>217</v>
      </c>
      <c r="N3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A4</v>
      </c>
      <c r="O30" s="11">
        <v>1</v>
      </c>
      <c r="P30" s="11"/>
      <c r="Q30" s="11" t="s">
        <v>218</v>
      </c>
      <c r="R30" s="11"/>
      <c r="S30" s="11" t="s">
        <v>219</v>
      </c>
      <c r="T30" s="11" t="s">
        <v>220</v>
      </c>
    </row>
    <row r="31" spans="1:20" ht="70" x14ac:dyDescent="0.2">
      <c r="A31" s="11" t="s">
        <v>18</v>
      </c>
      <c r="B31" s="11" t="s">
        <v>221</v>
      </c>
      <c r="C31" s="11" t="s">
        <v>222</v>
      </c>
      <c r="D31" s="11">
        <v>2013</v>
      </c>
      <c r="E31" s="11" t="s">
        <v>127</v>
      </c>
      <c r="F31" s="11" t="s">
        <v>222</v>
      </c>
      <c r="G31" s="11" t="s">
        <v>23</v>
      </c>
      <c r="H31" s="11" t="s">
        <v>223</v>
      </c>
      <c r="I31" s="11">
        <v>3.9</v>
      </c>
      <c r="J31" s="11">
        <v>996</v>
      </c>
      <c r="K31" s="11"/>
      <c r="L31" s="12"/>
      <c r="M31" s="12" t="s">
        <v>224</v>
      </c>
      <c r="N3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G1</v>
      </c>
      <c r="O31" s="11">
        <v>1</v>
      </c>
      <c r="P31" s="11"/>
      <c r="Q31" s="11" t="s">
        <v>225</v>
      </c>
      <c r="R31" s="11"/>
      <c r="S31" s="11" t="s">
        <v>226</v>
      </c>
      <c r="T31" s="11" t="s">
        <v>227</v>
      </c>
    </row>
    <row r="32" spans="1:20" x14ac:dyDescent="0.2">
      <c r="A32" s="11" t="s">
        <v>29</v>
      </c>
      <c r="B32" s="11" t="s">
        <v>228</v>
      </c>
      <c r="C32" s="11" t="s">
        <v>229</v>
      </c>
      <c r="D32" s="11"/>
      <c r="E32" s="11" t="s">
        <v>127</v>
      </c>
      <c r="F32" s="11" t="s">
        <v>230</v>
      </c>
      <c r="G32" s="11" t="s">
        <v>23</v>
      </c>
      <c r="H32" s="11" t="s">
        <v>211</v>
      </c>
      <c r="I32" s="11">
        <v>3.6</v>
      </c>
      <c r="J32" s="11"/>
      <c r="K32" s="11"/>
      <c r="L32" s="12"/>
      <c r="M32" s="12"/>
      <c r="N3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2" s="11"/>
      <c r="P32" s="11"/>
      <c r="Q32" s="11" t="s">
        <v>231</v>
      </c>
      <c r="R32" s="11"/>
      <c r="S32" s="11" t="s">
        <v>232</v>
      </c>
      <c r="T32" s="11" t="s">
        <v>233</v>
      </c>
    </row>
    <row r="33" spans="1:20" ht="56" x14ac:dyDescent="0.2">
      <c r="A33" s="11" t="s">
        <v>29</v>
      </c>
      <c r="B33" s="11" t="s">
        <v>234</v>
      </c>
      <c r="C33" s="11" t="s">
        <v>235</v>
      </c>
      <c r="D33" s="11">
        <v>2018</v>
      </c>
      <c r="E33" s="11" t="s">
        <v>127</v>
      </c>
      <c r="F33" s="11" t="s">
        <v>236</v>
      </c>
      <c r="G33" s="11" t="s">
        <v>152</v>
      </c>
      <c r="H33" s="11" t="s">
        <v>237</v>
      </c>
      <c r="I33" s="11">
        <v>3.9</v>
      </c>
      <c r="J33" s="11"/>
      <c r="K33" s="11"/>
      <c r="L33" s="12"/>
      <c r="M33" s="12" t="s">
        <v>238</v>
      </c>
      <c r="N3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</v>
      </c>
      <c r="O33" s="11"/>
      <c r="P33" s="11"/>
      <c r="Q33" s="11" t="s">
        <v>239</v>
      </c>
      <c r="R33" s="11"/>
      <c r="S33" s="11" t="s">
        <v>240</v>
      </c>
      <c r="T33" s="11" t="s">
        <v>241</v>
      </c>
    </row>
    <row r="34" spans="1:20" ht="70" x14ac:dyDescent="0.2">
      <c r="A34" s="11" t="s">
        <v>29</v>
      </c>
      <c r="B34" s="11" t="s">
        <v>242</v>
      </c>
      <c r="C34" s="11" t="s">
        <v>243</v>
      </c>
      <c r="D34" s="11">
        <v>2018</v>
      </c>
      <c r="E34" s="11" t="s">
        <v>127</v>
      </c>
      <c r="F34" s="11" t="s">
        <v>244</v>
      </c>
      <c r="G34" s="11" t="s">
        <v>152</v>
      </c>
      <c r="H34" s="11" t="s">
        <v>237</v>
      </c>
      <c r="I34" s="11">
        <v>3.7</v>
      </c>
      <c r="J34" s="11"/>
      <c r="K34" s="11"/>
      <c r="L34" s="12"/>
      <c r="M34" s="12" t="s">
        <v>245</v>
      </c>
      <c r="N3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34" s="11"/>
      <c r="P34" s="11"/>
      <c r="Q34" s="11" t="s">
        <v>246</v>
      </c>
      <c r="R34" s="11"/>
      <c r="S34" s="11" t="s">
        <v>247</v>
      </c>
      <c r="T34" s="11" t="s">
        <v>248</v>
      </c>
    </row>
    <row r="35" spans="1:20" x14ac:dyDescent="0.2">
      <c r="A35" s="11" t="s">
        <v>29</v>
      </c>
      <c r="B35" s="11" t="s">
        <v>249</v>
      </c>
      <c r="C35" s="11" t="s">
        <v>250</v>
      </c>
      <c r="D35" s="11">
        <v>2022</v>
      </c>
      <c r="E35" s="11" t="s">
        <v>127</v>
      </c>
      <c r="F35" s="11" t="s">
        <v>251</v>
      </c>
      <c r="G35" s="11" t="s">
        <v>23</v>
      </c>
      <c r="H35" s="11" t="s">
        <v>252</v>
      </c>
      <c r="I35" s="11">
        <v>3.7</v>
      </c>
      <c r="J35" s="11"/>
      <c r="K35" s="11"/>
      <c r="L35" s="12"/>
      <c r="M35" s="12"/>
      <c r="N3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5" s="11"/>
      <c r="P35" s="11"/>
      <c r="Q35" s="11" t="s">
        <v>253</v>
      </c>
      <c r="R35" s="11"/>
      <c r="S35" s="11" t="s">
        <v>254</v>
      </c>
      <c r="T35" s="11" t="s">
        <v>255</v>
      </c>
    </row>
    <row r="36" spans="1:20" ht="70" x14ac:dyDescent="0.2">
      <c r="A36" s="11" t="s">
        <v>29</v>
      </c>
      <c r="B36" s="11" t="s">
        <v>256</v>
      </c>
      <c r="C36" s="11" t="s">
        <v>257</v>
      </c>
      <c r="D36" s="11">
        <v>2015</v>
      </c>
      <c r="E36" s="11" t="s">
        <v>127</v>
      </c>
      <c r="F36" s="11" t="s">
        <v>258</v>
      </c>
      <c r="G36" s="11" t="s">
        <v>23</v>
      </c>
      <c r="H36" s="11" t="s">
        <v>259</v>
      </c>
      <c r="I36" s="11">
        <v>3.8</v>
      </c>
      <c r="J36" s="11"/>
      <c r="K36" s="11"/>
      <c r="L36" s="12"/>
      <c r="M36" s="12" t="s">
        <v>260</v>
      </c>
      <c r="N3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6" s="11"/>
      <c r="P36" s="11"/>
      <c r="Q36" s="11" t="s">
        <v>261</v>
      </c>
      <c r="R36" s="11"/>
      <c r="S36" s="11" t="s">
        <v>262</v>
      </c>
      <c r="T36" s="11" t="s">
        <v>263</v>
      </c>
    </row>
    <row r="37" spans="1:20" ht="70" x14ac:dyDescent="0.2">
      <c r="A37" s="11" t="s">
        <v>18</v>
      </c>
      <c r="B37" s="11" t="s">
        <v>264</v>
      </c>
      <c r="C37" s="11" t="s">
        <v>265</v>
      </c>
      <c r="D37" s="11">
        <v>2023</v>
      </c>
      <c r="E37" s="11" t="s">
        <v>127</v>
      </c>
      <c r="F37" s="11" t="s">
        <v>266</v>
      </c>
      <c r="G37" s="11" t="s">
        <v>23</v>
      </c>
      <c r="H37" s="11" t="s">
        <v>267</v>
      </c>
      <c r="I37" s="11">
        <v>4</v>
      </c>
      <c r="J37" s="11">
        <v>4100</v>
      </c>
      <c r="K37" s="11"/>
      <c r="L37" s="12"/>
      <c r="M37" s="12" t="s">
        <v>268</v>
      </c>
      <c r="N3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J8</v>
      </c>
      <c r="O37" s="11">
        <v>1</v>
      </c>
      <c r="P37" s="11"/>
      <c r="Q37" s="11" t="s">
        <v>269</v>
      </c>
      <c r="R37" s="11"/>
      <c r="S37" s="11" t="s">
        <v>270</v>
      </c>
      <c r="T37" s="11" t="s">
        <v>271</v>
      </c>
    </row>
    <row r="38" spans="1:20" x14ac:dyDescent="0.2">
      <c r="A38" s="11" t="s">
        <v>29</v>
      </c>
      <c r="B38" s="11" t="s">
        <v>272</v>
      </c>
      <c r="C38" s="11" t="s">
        <v>273</v>
      </c>
      <c r="D38" s="11">
        <v>2020</v>
      </c>
      <c r="E38" s="11" t="s">
        <v>127</v>
      </c>
      <c r="F38" s="11" t="s">
        <v>274</v>
      </c>
      <c r="G38" s="11" t="s">
        <v>23</v>
      </c>
      <c r="H38" s="11" t="s">
        <v>275</v>
      </c>
      <c r="I38" s="11">
        <v>3.8</v>
      </c>
      <c r="J38" s="11"/>
      <c r="K38" s="11"/>
      <c r="L38" s="12"/>
      <c r="M38" s="12"/>
      <c r="N3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8" s="11"/>
      <c r="P38" s="11"/>
      <c r="Q38" s="11" t="s">
        <v>276</v>
      </c>
      <c r="R38" s="11"/>
      <c r="S38" s="11" t="s">
        <v>277</v>
      </c>
      <c r="T38" s="11" t="s">
        <v>278</v>
      </c>
    </row>
    <row r="39" spans="1:20" ht="70" x14ac:dyDescent="0.2">
      <c r="A39" s="11" t="s">
        <v>18</v>
      </c>
      <c r="B39" s="11" t="s">
        <v>279</v>
      </c>
      <c r="C39" s="11" t="s">
        <v>280</v>
      </c>
      <c r="D39" s="11">
        <v>2019</v>
      </c>
      <c r="E39" s="11" t="s">
        <v>127</v>
      </c>
      <c r="F39" s="11" t="s">
        <v>136</v>
      </c>
      <c r="G39" s="11" t="s">
        <v>75</v>
      </c>
      <c r="H39" s="11" t="s">
        <v>137</v>
      </c>
      <c r="I39" s="11">
        <v>3.8</v>
      </c>
      <c r="J39" s="11">
        <v>353</v>
      </c>
      <c r="K39" s="11"/>
      <c r="L39" s="12"/>
      <c r="M39" s="12" t="s">
        <v>281</v>
      </c>
      <c r="N3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F3, G3</v>
      </c>
      <c r="O39" s="11">
        <v>2</v>
      </c>
      <c r="P39" s="11"/>
      <c r="Q39" s="11" t="s">
        <v>282</v>
      </c>
      <c r="R39" s="11"/>
      <c r="S39" s="11" t="s">
        <v>283</v>
      </c>
      <c r="T39" s="11" t="s">
        <v>284</v>
      </c>
    </row>
    <row r="40" spans="1:20" x14ac:dyDescent="0.2">
      <c r="A40" s="11" t="s">
        <v>29</v>
      </c>
      <c r="B40" s="11" t="s">
        <v>285</v>
      </c>
      <c r="C40" s="11" t="s">
        <v>286</v>
      </c>
      <c r="D40" s="11">
        <v>2022</v>
      </c>
      <c r="E40" s="11" t="s">
        <v>127</v>
      </c>
      <c r="F40" s="11" t="s">
        <v>287</v>
      </c>
      <c r="G40" s="11" t="s">
        <v>23</v>
      </c>
      <c r="H40" s="11" t="s">
        <v>288</v>
      </c>
      <c r="I40" s="11">
        <v>3</v>
      </c>
      <c r="J40" s="11"/>
      <c r="K40" s="11"/>
      <c r="L40" s="12"/>
      <c r="M40" s="12"/>
      <c r="N4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0" s="11"/>
      <c r="P40" s="11"/>
      <c r="Q40" s="11" t="s">
        <v>289</v>
      </c>
      <c r="R40" s="11"/>
      <c r="S40" s="11" t="s">
        <v>290</v>
      </c>
      <c r="T40" s="11" t="s">
        <v>291</v>
      </c>
    </row>
    <row r="41" spans="1:20" x14ac:dyDescent="0.2">
      <c r="A41" s="11" t="s">
        <v>37</v>
      </c>
      <c r="B41" s="11" t="s">
        <v>285</v>
      </c>
      <c r="C41" s="11" t="s">
        <v>286</v>
      </c>
      <c r="D41" s="11">
        <v>2022</v>
      </c>
      <c r="E41" s="11" t="s">
        <v>127</v>
      </c>
      <c r="F41" s="11" t="s">
        <v>287</v>
      </c>
      <c r="G41" s="11" t="s">
        <v>23</v>
      </c>
      <c r="H41" s="11" t="s">
        <v>288</v>
      </c>
      <c r="I41" s="11">
        <v>3</v>
      </c>
      <c r="J41" s="11"/>
      <c r="K41" s="11"/>
      <c r="L41" s="12"/>
      <c r="M41" s="12"/>
      <c r="N4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1" s="11"/>
      <c r="P41" s="11" t="s">
        <v>292</v>
      </c>
      <c r="Q41" s="11" t="s">
        <v>289</v>
      </c>
      <c r="R41" s="11"/>
      <c r="S41" s="11" t="s">
        <v>290</v>
      </c>
      <c r="T41" s="11" t="s">
        <v>291</v>
      </c>
    </row>
    <row r="42" spans="1:20" ht="70" x14ac:dyDescent="0.2">
      <c r="A42" s="11" t="s">
        <v>18</v>
      </c>
      <c r="B42" s="11" t="s">
        <v>293</v>
      </c>
      <c r="C42" s="11" t="s">
        <v>294</v>
      </c>
      <c r="D42" s="11">
        <v>2022</v>
      </c>
      <c r="E42" s="11" t="s">
        <v>127</v>
      </c>
      <c r="F42" s="11" t="s">
        <v>295</v>
      </c>
      <c r="G42" s="11" t="s">
        <v>23</v>
      </c>
      <c r="H42" s="11" t="s">
        <v>191</v>
      </c>
      <c r="I42" s="11">
        <v>4</v>
      </c>
      <c r="J42" s="11">
        <v>4361</v>
      </c>
      <c r="K42" s="11"/>
      <c r="L42" s="12"/>
      <c r="M42" s="12" t="s">
        <v>296</v>
      </c>
      <c r="N4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E12, F12</v>
      </c>
      <c r="O42" s="11">
        <v>2</v>
      </c>
      <c r="P42" s="11"/>
      <c r="Q42" s="11" t="s">
        <v>297</v>
      </c>
      <c r="R42" s="11"/>
      <c r="S42" s="11" t="s">
        <v>298</v>
      </c>
      <c r="T42" s="11" t="s">
        <v>299</v>
      </c>
    </row>
    <row r="43" spans="1:20" x14ac:dyDescent="0.2">
      <c r="A43" s="11" t="s">
        <v>18</v>
      </c>
      <c r="B43" s="11" t="s">
        <v>293</v>
      </c>
      <c r="C43" s="11" t="s">
        <v>294</v>
      </c>
      <c r="D43" s="11">
        <v>2022</v>
      </c>
      <c r="E43" s="11" t="s">
        <v>127</v>
      </c>
      <c r="F43" s="11" t="s">
        <v>295</v>
      </c>
      <c r="G43" s="11" t="s">
        <v>23</v>
      </c>
      <c r="H43" s="11" t="s">
        <v>191</v>
      </c>
      <c r="I43" s="11">
        <v>4</v>
      </c>
      <c r="J43" s="11">
        <v>4361</v>
      </c>
      <c r="K43" s="11"/>
      <c r="L43" s="12"/>
      <c r="M43" s="12"/>
      <c r="N4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3" s="11">
        <v>2</v>
      </c>
      <c r="P43" s="11"/>
      <c r="Q43" s="11" t="s">
        <v>300</v>
      </c>
      <c r="R43" s="11"/>
      <c r="S43" s="11" t="s">
        <v>298</v>
      </c>
      <c r="T43" s="11" t="s">
        <v>301</v>
      </c>
    </row>
    <row r="44" spans="1:20" ht="84" x14ac:dyDescent="0.2">
      <c r="A44" s="11" t="s">
        <v>18</v>
      </c>
      <c r="B44" s="11" t="s">
        <v>302</v>
      </c>
      <c r="C44" s="11" t="s">
        <v>303</v>
      </c>
      <c r="D44" s="11">
        <v>2020</v>
      </c>
      <c r="E44" s="11" t="s">
        <v>127</v>
      </c>
      <c r="F44" s="11" t="s">
        <v>304</v>
      </c>
      <c r="G44" s="11" t="s">
        <v>75</v>
      </c>
      <c r="H44" s="11" t="s">
        <v>305</v>
      </c>
      <c r="I44" s="11">
        <v>3.7</v>
      </c>
      <c r="J44" s="11">
        <v>1563</v>
      </c>
      <c r="K44" s="11"/>
      <c r="L44" s="12"/>
      <c r="M44" s="12" t="s">
        <v>306</v>
      </c>
      <c r="N4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I4 - J4</v>
      </c>
      <c r="O44" s="11">
        <v>2</v>
      </c>
      <c r="P44" s="11"/>
      <c r="Q44" s="11" t="s">
        <v>307</v>
      </c>
      <c r="R44" s="11"/>
      <c r="S44" s="11" t="s">
        <v>308</v>
      </c>
      <c r="T44" s="11" t="s">
        <v>309</v>
      </c>
    </row>
    <row r="45" spans="1:20" ht="70" x14ac:dyDescent="0.2">
      <c r="A45" s="11" t="s">
        <v>18</v>
      </c>
      <c r="B45" s="11" t="s">
        <v>302</v>
      </c>
      <c r="C45" s="11" t="s">
        <v>310</v>
      </c>
      <c r="D45" s="11">
        <v>2021</v>
      </c>
      <c r="E45" s="11" t="s">
        <v>127</v>
      </c>
      <c r="F45" s="11" t="s">
        <v>304</v>
      </c>
      <c r="G45" s="11" t="s">
        <v>75</v>
      </c>
      <c r="H45" s="11" t="s">
        <v>305</v>
      </c>
      <c r="I45" s="11">
        <v>3.9</v>
      </c>
      <c r="J45" s="11">
        <v>1750</v>
      </c>
      <c r="K45" s="11"/>
      <c r="L45" s="12"/>
      <c r="M45" s="12" t="s">
        <v>311</v>
      </c>
      <c r="N4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H8, I8</v>
      </c>
      <c r="O45" s="11">
        <v>2</v>
      </c>
      <c r="P45" s="11"/>
      <c r="Q45" s="11" t="s">
        <v>312</v>
      </c>
      <c r="R45" s="11"/>
      <c r="S45" s="11" t="s">
        <v>313</v>
      </c>
      <c r="T45" s="11" t="s">
        <v>314</v>
      </c>
    </row>
    <row r="46" spans="1:20" ht="70" x14ac:dyDescent="0.2">
      <c r="A46" s="11" t="s">
        <v>29</v>
      </c>
      <c r="B46" s="11" t="s">
        <v>315</v>
      </c>
      <c r="C46" s="11" t="s">
        <v>316</v>
      </c>
      <c r="D46" s="11">
        <v>2020</v>
      </c>
      <c r="E46" s="11" t="s">
        <v>127</v>
      </c>
      <c r="F46" s="11" t="s">
        <v>317</v>
      </c>
      <c r="G46" s="11" t="s">
        <v>182</v>
      </c>
      <c r="H46" s="11" t="s">
        <v>318</v>
      </c>
      <c r="I46" s="11">
        <v>3.6</v>
      </c>
      <c r="J46" s="11"/>
      <c r="K46" s="11"/>
      <c r="L46" s="12"/>
      <c r="M46" s="12" t="s">
        <v>319</v>
      </c>
      <c r="N4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G2</v>
      </c>
      <c r="O46" s="11"/>
      <c r="P46" s="11"/>
      <c r="Q46" s="11" t="s">
        <v>320</v>
      </c>
      <c r="R46" s="11"/>
      <c r="S46" s="11" t="s">
        <v>321</v>
      </c>
      <c r="T46" s="11" t="s">
        <v>322</v>
      </c>
    </row>
    <row r="47" spans="1:20" ht="70" x14ac:dyDescent="0.2">
      <c r="A47" s="11" t="s">
        <v>18</v>
      </c>
      <c r="B47" s="11" t="s">
        <v>323</v>
      </c>
      <c r="C47" s="11" t="s">
        <v>324</v>
      </c>
      <c r="D47" s="11">
        <v>2022</v>
      </c>
      <c r="E47" s="11" t="s">
        <v>127</v>
      </c>
      <c r="F47" s="11" t="s">
        <v>325</v>
      </c>
      <c r="G47" s="11" t="s">
        <v>326</v>
      </c>
      <c r="H47" s="11" t="s">
        <v>327</v>
      </c>
      <c r="I47" s="11">
        <v>3.7</v>
      </c>
      <c r="J47" s="11">
        <v>968</v>
      </c>
      <c r="K47" s="11"/>
      <c r="L47" s="12"/>
      <c r="M47" s="12" t="s">
        <v>328</v>
      </c>
      <c r="N4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i2, J2</v>
      </c>
      <c r="O47" s="11">
        <v>2</v>
      </c>
      <c r="P47" s="11"/>
      <c r="Q47" s="11" t="s">
        <v>329</v>
      </c>
      <c r="R47" s="11"/>
      <c r="S47" s="11" t="s">
        <v>330</v>
      </c>
      <c r="T47" s="11" t="s">
        <v>331</v>
      </c>
    </row>
    <row r="48" spans="1:20" ht="126" x14ac:dyDescent="0.2">
      <c r="A48" s="11" t="s">
        <v>18</v>
      </c>
      <c r="B48" s="11" t="s">
        <v>332</v>
      </c>
      <c r="C48" s="11" t="s">
        <v>333</v>
      </c>
      <c r="D48" s="11">
        <v>2022</v>
      </c>
      <c r="E48" s="11" t="s">
        <v>127</v>
      </c>
      <c r="F48" s="11" t="s">
        <v>334</v>
      </c>
      <c r="G48" s="11" t="s">
        <v>23</v>
      </c>
      <c r="H48" s="11" t="s">
        <v>259</v>
      </c>
      <c r="I48" s="11">
        <v>3.4</v>
      </c>
      <c r="J48" s="11">
        <v>210</v>
      </c>
      <c r="K48" s="11"/>
      <c r="L48" s="12"/>
      <c r="M48" s="12" t="s">
        <v>335</v>
      </c>
      <c r="N4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H12 - I12 - J12</v>
      </c>
      <c r="O48" s="11">
        <v>3</v>
      </c>
      <c r="P48" s="11"/>
      <c r="Q48" s="11" t="s">
        <v>336</v>
      </c>
      <c r="R48" s="11"/>
      <c r="S48" s="11" t="s">
        <v>337</v>
      </c>
      <c r="T48" s="11" t="s">
        <v>338</v>
      </c>
    </row>
    <row r="49" spans="1:20" ht="126" x14ac:dyDescent="0.2">
      <c r="A49" s="11" t="s">
        <v>37</v>
      </c>
      <c r="B49" s="11" t="s">
        <v>332</v>
      </c>
      <c r="C49" s="11" t="s">
        <v>333</v>
      </c>
      <c r="D49" s="11">
        <v>2022</v>
      </c>
      <c r="E49" s="11" t="s">
        <v>127</v>
      </c>
      <c r="F49" s="11" t="s">
        <v>334</v>
      </c>
      <c r="G49" s="11" t="s">
        <v>23</v>
      </c>
      <c r="H49" s="11" t="s">
        <v>259</v>
      </c>
      <c r="I49" s="11">
        <v>3.4</v>
      </c>
      <c r="J49" s="11"/>
      <c r="K49" s="11"/>
      <c r="L49" s="12"/>
      <c r="M49" s="12" t="s">
        <v>335</v>
      </c>
      <c r="N4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H12 - I12 - J12</v>
      </c>
      <c r="O49" s="11"/>
      <c r="P49" s="11" t="s">
        <v>339</v>
      </c>
      <c r="Q49" s="11" t="s">
        <v>336</v>
      </c>
      <c r="R49" s="11"/>
      <c r="S49" s="11" t="s">
        <v>337</v>
      </c>
      <c r="T49" s="11" t="s">
        <v>338</v>
      </c>
    </row>
    <row r="50" spans="1:20" ht="70" x14ac:dyDescent="0.2">
      <c r="A50" s="11" t="s">
        <v>18</v>
      </c>
      <c r="B50" s="11" t="s">
        <v>340</v>
      </c>
      <c r="C50" s="11" t="s">
        <v>341</v>
      </c>
      <c r="D50" s="11">
        <v>2019</v>
      </c>
      <c r="E50" s="11" t="s">
        <v>127</v>
      </c>
      <c r="F50" s="11" t="s">
        <v>230</v>
      </c>
      <c r="G50" s="11" t="s">
        <v>23</v>
      </c>
      <c r="H50" s="11" t="s">
        <v>211</v>
      </c>
      <c r="I50" s="11">
        <v>3.3</v>
      </c>
      <c r="J50" s="11">
        <v>1769</v>
      </c>
      <c r="K50" s="11"/>
      <c r="L50" s="12"/>
      <c r="M50" s="12" t="s">
        <v>342</v>
      </c>
      <c r="N5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</v>
      </c>
      <c r="O50" s="11">
        <v>1</v>
      </c>
      <c r="P50" s="11"/>
      <c r="Q50" s="11" t="s">
        <v>343</v>
      </c>
      <c r="R50" s="11"/>
      <c r="S50" s="11" t="s">
        <v>344</v>
      </c>
      <c r="T50" s="11" t="s">
        <v>345</v>
      </c>
    </row>
    <row r="51" spans="1:20" ht="42" x14ac:dyDescent="0.2">
      <c r="A51" s="11" t="s">
        <v>29</v>
      </c>
      <c r="B51" s="11" t="s">
        <v>346</v>
      </c>
      <c r="C51" s="11" t="s">
        <v>347</v>
      </c>
      <c r="D51" s="11">
        <v>2021</v>
      </c>
      <c r="E51" s="11" t="s">
        <v>127</v>
      </c>
      <c r="F51" s="11" t="s">
        <v>190</v>
      </c>
      <c r="G51" s="11" t="s">
        <v>23</v>
      </c>
      <c r="H51" s="11" t="s">
        <v>191</v>
      </c>
      <c r="I51" s="11">
        <v>3.7</v>
      </c>
      <c r="J51" s="11"/>
      <c r="K51" s="11"/>
      <c r="L51" s="12"/>
      <c r="M51" s="12" t="s">
        <v>348</v>
      </c>
      <c r="N5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1" s="11"/>
      <c r="P51" s="11"/>
      <c r="Q51" s="11" t="s">
        <v>349</v>
      </c>
      <c r="R51" s="11"/>
      <c r="S51" s="11" t="s">
        <v>350</v>
      </c>
      <c r="T51" s="11" t="s">
        <v>351</v>
      </c>
    </row>
    <row r="52" spans="1:20" x14ac:dyDescent="0.2">
      <c r="A52" s="11" t="s">
        <v>29</v>
      </c>
      <c r="B52" s="11" t="s">
        <v>352</v>
      </c>
      <c r="C52" s="11" t="s">
        <v>353</v>
      </c>
      <c r="D52" s="11">
        <v>2018</v>
      </c>
      <c r="E52" s="11" t="s">
        <v>127</v>
      </c>
      <c r="F52" s="11" t="s">
        <v>354</v>
      </c>
      <c r="G52" s="11" t="s">
        <v>152</v>
      </c>
      <c r="H52" s="11" t="s">
        <v>355</v>
      </c>
      <c r="I52" s="11">
        <v>4.0999999999999996</v>
      </c>
      <c r="J52" s="11"/>
      <c r="K52" s="11"/>
      <c r="L52" s="12"/>
      <c r="M52" s="12"/>
      <c r="N5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2" s="11"/>
      <c r="P52" s="11"/>
      <c r="Q52" s="11" t="s">
        <v>356</v>
      </c>
      <c r="R52" s="11"/>
      <c r="S52" s="11" t="s">
        <v>357</v>
      </c>
      <c r="T52" s="11" t="s">
        <v>358</v>
      </c>
    </row>
    <row r="53" spans="1:20" x14ac:dyDescent="0.2">
      <c r="A53" s="11" t="s">
        <v>37</v>
      </c>
      <c r="B53" s="11" t="s">
        <v>352</v>
      </c>
      <c r="C53" s="11" t="s">
        <v>353</v>
      </c>
      <c r="D53" s="11">
        <v>2018</v>
      </c>
      <c r="E53" s="11" t="s">
        <v>127</v>
      </c>
      <c r="F53" s="11" t="s">
        <v>354</v>
      </c>
      <c r="G53" s="11" t="s">
        <v>152</v>
      </c>
      <c r="H53" s="11" t="s">
        <v>355</v>
      </c>
      <c r="I53" s="11">
        <v>4.0999999999999996</v>
      </c>
      <c r="J53" s="11"/>
      <c r="K53" s="11"/>
      <c r="L53" s="12"/>
      <c r="M53" s="12"/>
      <c r="N5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3" s="11"/>
      <c r="P53" s="11" t="s">
        <v>359</v>
      </c>
      <c r="Q53" s="11" t="s">
        <v>356</v>
      </c>
      <c r="R53" s="11"/>
      <c r="S53" s="11" t="s">
        <v>357</v>
      </c>
      <c r="T53" s="11" t="s">
        <v>358</v>
      </c>
    </row>
    <row r="54" spans="1:20" x14ac:dyDescent="0.2">
      <c r="A54" s="11" t="s">
        <v>29</v>
      </c>
      <c r="B54" s="11" t="s">
        <v>360</v>
      </c>
      <c r="C54" s="11" t="s">
        <v>361</v>
      </c>
      <c r="D54" s="11">
        <v>2023</v>
      </c>
      <c r="E54" s="11" t="s">
        <v>127</v>
      </c>
      <c r="F54" s="11" t="s">
        <v>362</v>
      </c>
      <c r="G54" s="11" t="s">
        <v>152</v>
      </c>
      <c r="H54" s="11" t="s">
        <v>363</v>
      </c>
      <c r="I54" s="11">
        <v>3.8</v>
      </c>
      <c r="J54" s="11"/>
      <c r="K54" s="11">
        <v>3.9</v>
      </c>
      <c r="L54" s="12"/>
      <c r="M54" s="12"/>
      <c r="N5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4" s="11"/>
      <c r="P54" s="11"/>
      <c r="Q54" s="11" t="s">
        <v>364</v>
      </c>
      <c r="R54" s="11"/>
      <c r="S54" s="11" t="s">
        <v>365</v>
      </c>
      <c r="T54" s="11" t="s">
        <v>366</v>
      </c>
    </row>
    <row r="55" spans="1:20" ht="42" x14ac:dyDescent="0.2">
      <c r="A55" s="11" t="s">
        <v>18</v>
      </c>
      <c r="B55" s="11" t="s">
        <v>367</v>
      </c>
      <c r="C55" s="11" t="s">
        <v>368</v>
      </c>
      <c r="D55" s="11">
        <v>2020</v>
      </c>
      <c r="E55" s="11" t="s">
        <v>127</v>
      </c>
      <c r="F55" s="11" t="s">
        <v>369</v>
      </c>
      <c r="G55" s="11" t="s">
        <v>83</v>
      </c>
      <c r="H55" s="11" t="s">
        <v>370</v>
      </c>
      <c r="I55" s="11">
        <v>3.8</v>
      </c>
      <c r="J55" s="11">
        <v>3914</v>
      </c>
      <c r="K55" s="11"/>
      <c r="L55" s="12"/>
      <c r="M55" s="12" t="s">
        <v>371</v>
      </c>
      <c r="N5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F2</v>
      </c>
      <c r="O55" s="11">
        <v>1</v>
      </c>
      <c r="P55" s="11"/>
      <c r="Q55" s="11" t="s">
        <v>372</v>
      </c>
      <c r="R55" s="11"/>
      <c r="S55" s="11" t="s">
        <v>373</v>
      </c>
      <c r="T55" s="11" t="s">
        <v>374</v>
      </c>
    </row>
    <row r="56" spans="1:20" x14ac:dyDescent="0.2">
      <c r="A56" s="11" t="s">
        <v>29</v>
      </c>
      <c r="B56" s="11" t="s">
        <v>375</v>
      </c>
      <c r="C56" s="11" t="s">
        <v>376</v>
      </c>
      <c r="D56" s="11">
        <v>2018</v>
      </c>
      <c r="E56" s="11" t="s">
        <v>127</v>
      </c>
      <c r="F56" s="11" t="s">
        <v>377</v>
      </c>
      <c r="G56" s="11" t="s">
        <v>152</v>
      </c>
      <c r="H56" s="11" t="s">
        <v>355</v>
      </c>
      <c r="I56" s="11">
        <v>4.3</v>
      </c>
      <c r="J56" s="11"/>
      <c r="K56" s="11"/>
      <c r="L56" s="12"/>
      <c r="M56" s="12"/>
      <c r="N5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6" s="11"/>
      <c r="P56" s="11"/>
      <c r="Q56" s="11" t="s">
        <v>378</v>
      </c>
      <c r="R56" s="11"/>
      <c r="S56" s="11" t="s">
        <v>379</v>
      </c>
      <c r="T56" s="11" t="s">
        <v>380</v>
      </c>
    </row>
    <row r="57" spans="1:20" ht="70" x14ac:dyDescent="0.2">
      <c r="A57" s="11" t="s">
        <v>18</v>
      </c>
      <c r="B57" s="11" t="s">
        <v>381</v>
      </c>
      <c r="C57" s="11" t="s">
        <v>382</v>
      </c>
      <c r="D57" s="11"/>
      <c r="E57" s="11" t="s">
        <v>127</v>
      </c>
      <c r="F57" s="11" t="s">
        <v>383</v>
      </c>
      <c r="G57" s="11" t="s">
        <v>152</v>
      </c>
      <c r="H57" s="11" t="s">
        <v>384</v>
      </c>
      <c r="I57" s="11">
        <v>3.3</v>
      </c>
      <c r="J57" s="11">
        <v>4200</v>
      </c>
      <c r="K57" s="11"/>
      <c r="L57" s="12"/>
      <c r="M57" s="12" t="s">
        <v>385</v>
      </c>
      <c r="N5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B4</v>
      </c>
      <c r="O57" s="11">
        <v>1</v>
      </c>
      <c r="P57" s="11"/>
      <c r="Q57" s="11" t="s">
        <v>386</v>
      </c>
      <c r="R57" s="11"/>
      <c r="S57" s="11" t="s">
        <v>387</v>
      </c>
      <c r="T57" s="11" t="s">
        <v>388</v>
      </c>
    </row>
    <row r="58" spans="1:20" ht="70" x14ac:dyDescent="0.2">
      <c r="A58" s="11" t="s">
        <v>29</v>
      </c>
      <c r="B58" s="11" t="s">
        <v>389</v>
      </c>
      <c r="C58" s="11" t="s">
        <v>390</v>
      </c>
      <c r="D58" s="11">
        <v>2020</v>
      </c>
      <c r="E58" s="11" t="s">
        <v>127</v>
      </c>
      <c r="F58" s="11" t="s">
        <v>391</v>
      </c>
      <c r="G58" s="11" t="s">
        <v>392</v>
      </c>
      <c r="H58" s="11" t="s">
        <v>393</v>
      </c>
      <c r="I58" s="11">
        <v>3.9</v>
      </c>
      <c r="J58" s="11"/>
      <c r="K58" s="11"/>
      <c r="L58" s="12"/>
      <c r="M58" s="12" t="s">
        <v>394</v>
      </c>
      <c r="N5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8" s="11"/>
      <c r="P58" s="11"/>
      <c r="Q58" s="11" t="s">
        <v>395</v>
      </c>
      <c r="R58" s="11"/>
      <c r="S58" s="11" t="s">
        <v>396</v>
      </c>
      <c r="T58" s="11" t="s">
        <v>397</v>
      </c>
    </row>
    <row r="59" spans="1:20" ht="70" x14ac:dyDescent="0.2">
      <c r="A59" s="11" t="s">
        <v>29</v>
      </c>
      <c r="B59" s="11" t="s">
        <v>398</v>
      </c>
      <c r="C59" s="11" t="s">
        <v>399</v>
      </c>
      <c r="D59" s="11">
        <v>2014</v>
      </c>
      <c r="E59" s="11" t="s">
        <v>127</v>
      </c>
      <c r="F59" s="11" t="s">
        <v>258</v>
      </c>
      <c r="G59" s="11" t="s">
        <v>23</v>
      </c>
      <c r="H59" s="11" t="s">
        <v>259</v>
      </c>
      <c r="I59" s="11">
        <v>3.9</v>
      </c>
      <c r="J59" s="11"/>
      <c r="K59" s="11"/>
      <c r="L59" s="12"/>
      <c r="M59" s="12" t="s">
        <v>400</v>
      </c>
      <c r="N5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2</v>
      </c>
      <c r="O59" s="11"/>
      <c r="P59" s="11"/>
      <c r="Q59" s="11" t="s">
        <v>401</v>
      </c>
      <c r="R59" s="11"/>
      <c r="S59" s="11" t="s">
        <v>402</v>
      </c>
      <c r="T59" s="11" t="s">
        <v>403</v>
      </c>
    </row>
    <row r="60" spans="1:20" ht="70" x14ac:dyDescent="0.2">
      <c r="A60" s="11" t="s">
        <v>29</v>
      </c>
      <c r="B60" s="11" t="s">
        <v>404</v>
      </c>
      <c r="C60" s="11" t="s">
        <v>405</v>
      </c>
      <c r="D60" s="11">
        <v>2018</v>
      </c>
      <c r="E60" s="11" t="s">
        <v>127</v>
      </c>
      <c r="F60" s="11" t="s">
        <v>406</v>
      </c>
      <c r="G60" s="11" t="s">
        <v>23</v>
      </c>
      <c r="H60" s="11" t="s">
        <v>259</v>
      </c>
      <c r="I60" s="11">
        <v>3.7</v>
      </c>
      <c r="J60" s="11"/>
      <c r="K60" s="11"/>
      <c r="L60" s="12"/>
      <c r="M60" s="12" t="s">
        <v>407</v>
      </c>
      <c r="N6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0" s="11"/>
      <c r="P60" s="11"/>
      <c r="Q60" s="11" t="s">
        <v>408</v>
      </c>
      <c r="R60" s="11"/>
      <c r="S60" s="11" t="s">
        <v>409</v>
      </c>
      <c r="T60" s="11" t="s">
        <v>410</v>
      </c>
    </row>
    <row r="61" spans="1:20" x14ac:dyDescent="0.2">
      <c r="A61" s="11" t="s">
        <v>29</v>
      </c>
      <c r="B61" s="11" t="s">
        <v>411</v>
      </c>
      <c r="C61" s="11" t="s">
        <v>412</v>
      </c>
      <c r="D61" s="11">
        <v>2020</v>
      </c>
      <c r="E61" s="11" t="s">
        <v>127</v>
      </c>
      <c r="F61" s="11" t="s">
        <v>413</v>
      </c>
      <c r="G61" s="11" t="s">
        <v>152</v>
      </c>
      <c r="H61" s="11" t="s">
        <v>414</v>
      </c>
      <c r="I61" s="11">
        <v>3.7</v>
      </c>
      <c r="J61" s="11"/>
      <c r="K61" s="11"/>
      <c r="L61" s="12"/>
      <c r="M61" s="12"/>
      <c r="N6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1" s="11"/>
      <c r="P61" s="11"/>
      <c r="Q61" s="11" t="s">
        <v>415</v>
      </c>
      <c r="R61" s="11"/>
      <c r="S61" s="11" t="s">
        <v>416</v>
      </c>
      <c r="T61" s="11" t="s">
        <v>417</v>
      </c>
    </row>
    <row r="62" spans="1:20" x14ac:dyDescent="0.2">
      <c r="A62" s="11" t="s">
        <v>37</v>
      </c>
      <c r="B62" s="11" t="s">
        <v>411</v>
      </c>
      <c r="C62" s="11" t="s">
        <v>412</v>
      </c>
      <c r="D62" s="11">
        <v>2020</v>
      </c>
      <c r="E62" s="11" t="s">
        <v>127</v>
      </c>
      <c r="F62" s="11" t="s">
        <v>413</v>
      </c>
      <c r="G62" s="11" t="s">
        <v>152</v>
      </c>
      <c r="H62" s="11" t="s">
        <v>414</v>
      </c>
      <c r="I62" s="11">
        <v>3.7</v>
      </c>
      <c r="J62" s="11"/>
      <c r="K62" s="11"/>
      <c r="L62" s="12"/>
      <c r="M62" s="12"/>
      <c r="N6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2" s="11"/>
      <c r="P62" s="11" t="s">
        <v>418</v>
      </c>
      <c r="Q62" s="11" t="s">
        <v>415</v>
      </c>
      <c r="R62" s="11"/>
      <c r="S62" s="11" t="s">
        <v>416</v>
      </c>
      <c r="T62" s="11" t="s">
        <v>417</v>
      </c>
    </row>
    <row r="63" spans="1:20" ht="84" x14ac:dyDescent="0.2">
      <c r="A63" s="11" t="s">
        <v>29</v>
      </c>
      <c r="B63" s="11" t="s">
        <v>419</v>
      </c>
      <c r="C63" s="11" t="s">
        <v>420</v>
      </c>
      <c r="D63" s="11">
        <v>2018</v>
      </c>
      <c r="E63" s="11" t="s">
        <v>127</v>
      </c>
      <c r="F63" s="11" t="s">
        <v>420</v>
      </c>
      <c r="G63" s="11" t="s">
        <v>152</v>
      </c>
      <c r="H63" s="11" t="s">
        <v>421</v>
      </c>
      <c r="I63" s="11">
        <v>3.7</v>
      </c>
      <c r="J63" s="11"/>
      <c r="K63" s="11"/>
      <c r="L63" s="12"/>
      <c r="M63" s="12" t="s">
        <v>422</v>
      </c>
      <c r="N6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3" s="11"/>
      <c r="P63" s="11"/>
      <c r="Q63" s="11" t="s">
        <v>423</v>
      </c>
      <c r="R63" s="11"/>
      <c r="S63" s="11" t="s">
        <v>424</v>
      </c>
      <c r="T63" s="11" t="s">
        <v>425</v>
      </c>
    </row>
    <row r="64" spans="1:20" ht="56" x14ac:dyDescent="0.2">
      <c r="A64" s="11" t="s">
        <v>18</v>
      </c>
      <c r="B64" s="11" t="s">
        <v>419</v>
      </c>
      <c r="C64" s="11" t="s">
        <v>150</v>
      </c>
      <c r="D64" s="11">
        <v>2020</v>
      </c>
      <c r="E64" s="11" t="s">
        <v>127</v>
      </c>
      <c r="F64" s="11" t="s">
        <v>151</v>
      </c>
      <c r="G64" s="11" t="s">
        <v>152</v>
      </c>
      <c r="H64" s="11" t="s">
        <v>153</v>
      </c>
      <c r="I64" s="11">
        <v>3.9</v>
      </c>
      <c r="J64" s="11">
        <v>8288</v>
      </c>
      <c r="K64" s="11"/>
      <c r="L64" s="12"/>
      <c r="M64" s="12" t="s">
        <v>426</v>
      </c>
      <c r="N6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A4</v>
      </c>
      <c r="O64" s="11">
        <v>1</v>
      </c>
      <c r="P64" s="11"/>
      <c r="Q64" s="11" t="s">
        <v>427</v>
      </c>
      <c r="R64" s="11"/>
      <c r="S64" s="11" t="s">
        <v>428</v>
      </c>
      <c r="T64" s="11" t="s">
        <v>429</v>
      </c>
    </row>
    <row r="65" spans="1:20" ht="70" x14ac:dyDescent="0.2">
      <c r="A65" s="11" t="s">
        <v>29</v>
      </c>
      <c r="B65" s="11" t="s">
        <v>419</v>
      </c>
      <c r="C65" s="11" t="s">
        <v>150</v>
      </c>
      <c r="D65" s="11">
        <v>2019</v>
      </c>
      <c r="E65" s="11" t="s">
        <v>127</v>
      </c>
      <c r="F65" s="11" t="s">
        <v>151</v>
      </c>
      <c r="G65" s="11" t="s">
        <v>152</v>
      </c>
      <c r="H65" s="11" t="s">
        <v>153</v>
      </c>
      <c r="I65" s="11">
        <v>3.9</v>
      </c>
      <c r="J65" s="11"/>
      <c r="K65" s="11"/>
      <c r="L65" s="12"/>
      <c r="M65" s="12" t="s">
        <v>430</v>
      </c>
      <c r="N6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</v>
      </c>
      <c r="O65" s="11"/>
      <c r="P65" s="11"/>
      <c r="Q65" s="11" t="s">
        <v>431</v>
      </c>
      <c r="R65" s="11"/>
      <c r="S65" s="11" t="s">
        <v>432</v>
      </c>
      <c r="T65" s="11" t="s">
        <v>433</v>
      </c>
    </row>
    <row r="66" spans="1:20" ht="84" x14ac:dyDescent="0.2">
      <c r="A66" s="11" t="s">
        <v>29</v>
      </c>
      <c r="B66" s="11" t="s">
        <v>434</v>
      </c>
      <c r="C66" s="11" t="s">
        <v>435</v>
      </c>
      <c r="D66" s="11">
        <v>2020</v>
      </c>
      <c r="E66" s="11" t="s">
        <v>127</v>
      </c>
      <c r="F66" s="11" t="s">
        <v>436</v>
      </c>
      <c r="G66" s="11" t="s">
        <v>23</v>
      </c>
      <c r="H66" s="11" t="s">
        <v>437</v>
      </c>
      <c r="I66" s="11">
        <v>3.4</v>
      </c>
      <c r="J66" s="11"/>
      <c r="K66" s="11"/>
      <c r="L66" s="12"/>
      <c r="M66" s="12" t="s">
        <v>438</v>
      </c>
      <c r="N6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6" s="11"/>
      <c r="P66" s="11"/>
      <c r="Q66" s="11" t="s">
        <v>439</v>
      </c>
      <c r="R66" s="11"/>
      <c r="S66" s="11" t="s">
        <v>440</v>
      </c>
      <c r="T66" s="11" t="s">
        <v>441</v>
      </c>
    </row>
    <row r="67" spans="1:20" x14ac:dyDescent="0.2">
      <c r="A67" s="11" t="s">
        <v>29</v>
      </c>
      <c r="B67" s="11" t="s">
        <v>442</v>
      </c>
      <c r="C67" s="11" t="s">
        <v>443</v>
      </c>
      <c r="D67" s="11">
        <v>2015</v>
      </c>
      <c r="E67" s="11" t="s">
        <v>127</v>
      </c>
      <c r="F67" s="11" t="s">
        <v>444</v>
      </c>
      <c r="G67" s="11" t="s">
        <v>23</v>
      </c>
      <c r="H67" s="11" t="s">
        <v>445</v>
      </c>
      <c r="I67" s="11">
        <v>4.0999999999999996</v>
      </c>
      <c r="J67" s="11"/>
      <c r="K67" s="11">
        <v>5</v>
      </c>
      <c r="L67" s="12" t="s">
        <v>446</v>
      </c>
      <c r="M67" s="12" t="s">
        <v>50</v>
      </c>
      <c r="N6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7" s="11"/>
      <c r="P67" s="11"/>
      <c r="Q67" s="11" t="s">
        <v>447</v>
      </c>
      <c r="R67" s="11"/>
      <c r="S67" s="11" t="s">
        <v>448</v>
      </c>
      <c r="T67" s="11" t="s">
        <v>449</v>
      </c>
    </row>
    <row r="68" spans="1:20" x14ac:dyDescent="0.2">
      <c r="A68" s="11" t="s">
        <v>37</v>
      </c>
      <c r="B68" s="11" t="s">
        <v>442</v>
      </c>
      <c r="C68" s="11" t="s">
        <v>443</v>
      </c>
      <c r="D68" s="11">
        <v>2015</v>
      </c>
      <c r="E68" s="11" t="s">
        <v>127</v>
      </c>
      <c r="F68" s="11" t="s">
        <v>444</v>
      </c>
      <c r="G68" s="11" t="s">
        <v>23</v>
      </c>
      <c r="H68" s="11" t="s">
        <v>445</v>
      </c>
      <c r="I68" s="11">
        <v>4.0999999999999996</v>
      </c>
      <c r="J68" s="11"/>
      <c r="K68" s="11">
        <v>5</v>
      </c>
      <c r="L68" s="12" t="s">
        <v>446</v>
      </c>
      <c r="M68" s="12" t="s">
        <v>50</v>
      </c>
      <c r="N6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8" s="11"/>
      <c r="P68" s="11" t="s">
        <v>450</v>
      </c>
      <c r="Q68" s="11" t="s">
        <v>447</v>
      </c>
      <c r="R68" s="11"/>
      <c r="S68" s="11" t="s">
        <v>448</v>
      </c>
      <c r="T68" s="11" t="s">
        <v>449</v>
      </c>
    </row>
    <row r="69" spans="1:20" ht="84" x14ac:dyDescent="0.2">
      <c r="A69" s="11" t="s">
        <v>29</v>
      </c>
      <c r="B69" s="11" t="s">
        <v>451</v>
      </c>
      <c r="C69" s="11" t="s">
        <v>452</v>
      </c>
      <c r="D69" s="11">
        <v>2019</v>
      </c>
      <c r="E69" s="11" t="s">
        <v>127</v>
      </c>
      <c r="F69" s="11" t="s">
        <v>453</v>
      </c>
      <c r="G69" s="11" t="s">
        <v>392</v>
      </c>
      <c r="H69" s="11" t="s">
        <v>454</v>
      </c>
      <c r="I69" s="11">
        <v>3.9</v>
      </c>
      <c r="J69" s="11"/>
      <c r="K69" s="11"/>
      <c r="L69" s="12"/>
      <c r="M69" s="12" t="s">
        <v>455</v>
      </c>
      <c r="N6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9" s="11"/>
      <c r="P69" s="11"/>
      <c r="Q69" s="11" t="s">
        <v>456</v>
      </c>
      <c r="R69" s="11"/>
      <c r="S69" s="11" t="s">
        <v>457</v>
      </c>
      <c r="T69" s="11" t="s">
        <v>458</v>
      </c>
    </row>
    <row r="70" spans="1:20" ht="70" x14ac:dyDescent="0.2">
      <c r="A70" s="11" t="s">
        <v>29</v>
      </c>
      <c r="B70" s="11" t="s">
        <v>459</v>
      </c>
      <c r="C70" s="11" t="s">
        <v>460</v>
      </c>
      <c r="D70" s="11">
        <v>2019</v>
      </c>
      <c r="E70" s="11" t="s">
        <v>127</v>
      </c>
      <c r="F70" s="11" t="s">
        <v>362</v>
      </c>
      <c r="G70" s="11" t="s">
        <v>152</v>
      </c>
      <c r="H70" s="11" t="s">
        <v>414</v>
      </c>
      <c r="I70" s="11">
        <v>4.2</v>
      </c>
      <c r="J70" s="11"/>
      <c r="K70" s="11"/>
      <c r="L70" s="12"/>
      <c r="M70" s="12" t="s">
        <v>461</v>
      </c>
      <c r="N7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70" s="11"/>
      <c r="P70" s="11"/>
      <c r="Q70" s="11" t="s">
        <v>462</v>
      </c>
      <c r="R70" s="11"/>
      <c r="S70" s="11" t="s">
        <v>463</v>
      </c>
      <c r="T70" s="11" t="s">
        <v>464</v>
      </c>
    </row>
    <row r="71" spans="1:20" ht="42" x14ac:dyDescent="0.2">
      <c r="A71" s="11" t="s">
        <v>18</v>
      </c>
      <c r="B71" s="11" t="s">
        <v>465</v>
      </c>
      <c r="C71" s="11" t="s">
        <v>466</v>
      </c>
      <c r="D71" s="11"/>
      <c r="E71" s="11" t="s">
        <v>127</v>
      </c>
      <c r="F71" s="11" t="s">
        <v>467</v>
      </c>
      <c r="G71" s="11" t="s">
        <v>468</v>
      </c>
      <c r="H71" s="11"/>
      <c r="I71" s="11">
        <v>4.0999999999999996</v>
      </c>
      <c r="J71" s="11">
        <v>749</v>
      </c>
      <c r="K71" s="11"/>
      <c r="L71" s="12"/>
      <c r="M71" s="12" t="s">
        <v>469</v>
      </c>
      <c r="N7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E7</v>
      </c>
      <c r="O71" s="11">
        <v>1</v>
      </c>
      <c r="P71" s="11"/>
      <c r="Q71" s="11" t="s">
        <v>470</v>
      </c>
      <c r="R71" s="11"/>
      <c r="S71" s="11" t="s">
        <v>471</v>
      </c>
      <c r="T71" s="11" t="s">
        <v>472</v>
      </c>
    </row>
    <row r="72" spans="1:20" ht="56" x14ac:dyDescent="0.2">
      <c r="A72" s="11" t="s">
        <v>29</v>
      </c>
      <c r="B72" s="11" t="s">
        <v>473</v>
      </c>
      <c r="C72" s="11" t="s">
        <v>474</v>
      </c>
      <c r="D72" s="11">
        <v>2020</v>
      </c>
      <c r="E72" s="11" t="s">
        <v>127</v>
      </c>
      <c r="F72" s="11" t="s">
        <v>475</v>
      </c>
      <c r="G72" s="11" t="s">
        <v>152</v>
      </c>
      <c r="H72" s="11" t="s">
        <v>237</v>
      </c>
      <c r="I72" s="11">
        <v>3.9</v>
      </c>
      <c r="J72" s="11"/>
      <c r="K72" s="11"/>
      <c r="L72" s="12"/>
      <c r="M72" s="12" t="s">
        <v>476</v>
      </c>
      <c r="N7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E1</v>
      </c>
      <c r="O72" s="11"/>
      <c r="P72" s="11"/>
      <c r="Q72" s="11" t="s">
        <v>477</v>
      </c>
      <c r="R72" s="11"/>
      <c r="S72" s="11" t="s">
        <v>478</v>
      </c>
      <c r="T72" s="11" t="s">
        <v>479</v>
      </c>
    </row>
    <row r="73" spans="1:20" ht="70" x14ac:dyDescent="0.2">
      <c r="A73" s="11" t="s">
        <v>18</v>
      </c>
      <c r="B73" s="11" t="s">
        <v>480</v>
      </c>
      <c r="C73" s="11" t="s">
        <v>481</v>
      </c>
      <c r="D73" s="11">
        <v>2021</v>
      </c>
      <c r="E73" s="11" t="s">
        <v>127</v>
      </c>
      <c r="F73" s="11" t="s">
        <v>482</v>
      </c>
      <c r="G73" s="11" t="s">
        <v>75</v>
      </c>
      <c r="H73" s="11" t="s">
        <v>483</v>
      </c>
      <c r="I73" s="11">
        <v>3.5</v>
      </c>
      <c r="J73" s="11">
        <v>750</v>
      </c>
      <c r="K73" s="11"/>
      <c r="L73" s="12"/>
      <c r="M73" s="12" t="s">
        <v>484</v>
      </c>
      <c r="N7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H3, i3</v>
      </c>
      <c r="O73" s="11">
        <v>2</v>
      </c>
      <c r="P73" s="11"/>
      <c r="Q73" s="11" t="s">
        <v>485</v>
      </c>
      <c r="R73" s="11"/>
      <c r="S73" s="11" t="s">
        <v>486</v>
      </c>
      <c r="T73" s="11" t="s">
        <v>487</v>
      </c>
    </row>
    <row r="74" spans="1:20" ht="56" x14ac:dyDescent="0.2">
      <c r="A74" s="11" t="s">
        <v>29</v>
      </c>
      <c r="B74" s="11" t="s">
        <v>488</v>
      </c>
      <c r="C74" s="11" t="s">
        <v>489</v>
      </c>
      <c r="D74" s="11">
        <v>2017</v>
      </c>
      <c r="E74" s="11" t="s">
        <v>127</v>
      </c>
      <c r="F74" s="11" t="s">
        <v>490</v>
      </c>
      <c r="G74" s="11" t="s">
        <v>152</v>
      </c>
      <c r="H74" s="11" t="s">
        <v>491</v>
      </c>
      <c r="I74" s="11">
        <v>4.0999999999999996</v>
      </c>
      <c r="J74" s="11"/>
      <c r="K74" s="11"/>
      <c r="L74" s="12"/>
      <c r="M74" s="12" t="s">
        <v>492</v>
      </c>
      <c r="N7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74" s="11"/>
      <c r="P74" s="11"/>
      <c r="Q74" s="11" t="s">
        <v>493</v>
      </c>
      <c r="R74" s="11"/>
      <c r="S74" s="11" t="s">
        <v>494</v>
      </c>
      <c r="T74" s="11" t="s">
        <v>495</v>
      </c>
    </row>
    <row r="75" spans="1:20" ht="56" x14ac:dyDescent="0.2">
      <c r="A75" s="11" t="s">
        <v>37</v>
      </c>
      <c r="B75" s="11" t="s">
        <v>488</v>
      </c>
      <c r="C75" s="11" t="s">
        <v>489</v>
      </c>
      <c r="D75" s="11">
        <v>2017</v>
      </c>
      <c r="E75" s="11" t="s">
        <v>127</v>
      </c>
      <c r="F75" s="11" t="s">
        <v>490</v>
      </c>
      <c r="G75" s="11" t="s">
        <v>152</v>
      </c>
      <c r="H75" s="11" t="s">
        <v>491</v>
      </c>
      <c r="I75" s="11">
        <v>4.0999999999999996</v>
      </c>
      <c r="J75" s="11"/>
      <c r="K75" s="11"/>
      <c r="L75" s="12"/>
      <c r="M75" s="12" t="s">
        <v>492</v>
      </c>
      <c r="N7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75" s="11"/>
      <c r="P75" s="11" t="s">
        <v>496</v>
      </c>
      <c r="Q75" s="11" t="s">
        <v>493</v>
      </c>
      <c r="R75" s="11"/>
      <c r="S75" s="11" t="s">
        <v>494</v>
      </c>
      <c r="T75" s="11" t="s">
        <v>495</v>
      </c>
    </row>
    <row r="76" spans="1:20" ht="42" x14ac:dyDescent="0.2">
      <c r="A76" s="11" t="s">
        <v>18</v>
      </c>
      <c r="B76" s="11" t="s">
        <v>497</v>
      </c>
      <c r="C76" s="11" t="s">
        <v>498</v>
      </c>
      <c r="D76" s="11">
        <v>2020</v>
      </c>
      <c r="E76" s="11" t="s">
        <v>127</v>
      </c>
      <c r="F76" s="11" t="s">
        <v>499</v>
      </c>
      <c r="G76" s="11" t="s">
        <v>75</v>
      </c>
      <c r="H76" s="11" t="s">
        <v>500</v>
      </c>
      <c r="I76" s="11">
        <v>4.3</v>
      </c>
      <c r="J76" s="11">
        <v>721</v>
      </c>
      <c r="K76" s="11"/>
      <c r="L76" s="12"/>
      <c r="M76" s="12" t="s">
        <v>501</v>
      </c>
      <c r="N7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I1</v>
      </c>
      <c r="O76" s="11">
        <v>1</v>
      </c>
      <c r="P76" s="11"/>
      <c r="Q76" s="11" t="s">
        <v>502</v>
      </c>
      <c r="R76" s="11"/>
      <c r="S76" s="11" t="s">
        <v>503</v>
      </c>
      <c r="T76" s="11" t="s">
        <v>504</v>
      </c>
    </row>
    <row r="77" spans="1:20" ht="42" x14ac:dyDescent="0.2">
      <c r="A77" s="11" t="s">
        <v>18</v>
      </c>
      <c r="B77" s="11" t="s">
        <v>505</v>
      </c>
      <c r="C77" s="11" t="s">
        <v>506</v>
      </c>
      <c r="D77" s="11">
        <v>2020</v>
      </c>
      <c r="E77" s="11" t="s">
        <v>127</v>
      </c>
      <c r="F77" s="11" t="s">
        <v>507</v>
      </c>
      <c r="G77" s="11" t="s">
        <v>326</v>
      </c>
      <c r="H77" s="11" t="s">
        <v>508</v>
      </c>
      <c r="I77" s="11">
        <v>4.2</v>
      </c>
      <c r="J77" s="11">
        <v>8773</v>
      </c>
      <c r="K77" s="11"/>
      <c r="L77" s="12"/>
      <c r="M77" s="12" t="s">
        <v>509</v>
      </c>
      <c r="N7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B2</v>
      </c>
      <c r="O77" s="11">
        <v>1</v>
      </c>
      <c r="P77" s="11"/>
      <c r="Q77" s="11" t="s">
        <v>510</v>
      </c>
      <c r="R77" s="11"/>
      <c r="S77" s="11" t="s">
        <v>511</v>
      </c>
      <c r="T77" s="11" t="s">
        <v>512</v>
      </c>
    </row>
    <row r="78" spans="1:20" x14ac:dyDescent="0.2">
      <c r="A78" s="11" t="s">
        <v>29</v>
      </c>
      <c r="B78" s="11" t="s">
        <v>513</v>
      </c>
      <c r="C78" s="11" t="s">
        <v>514</v>
      </c>
      <c r="D78" s="11">
        <v>2020</v>
      </c>
      <c r="E78" s="11" t="s">
        <v>127</v>
      </c>
      <c r="F78" s="11" t="s">
        <v>151</v>
      </c>
      <c r="G78" s="11" t="s">
        <v>152</v>
      </c>
      <c r="H78" s="11" t="s">
        <v>153</v>
      </c>
      <c r="I78" s="11">
        <v>4</v>
      </c>
      <c r="J78" s="11"/>
      <c r="K78" s="11"/>
      <c r="L78" s="12"/>
      <c r="M78" s="12"/>
      <c r="N7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78" s="11"/>
      <c r="P78" s="11"/>
      <c r="Q78" s="11" t="s">
        <v>515</v>
      </c>
      <c r="R78" s="11"/>
      <c r="S78" s="11" t="s">
        <v>516</v>
      </c>
      <c r="T78" s="11" t="s">
        <v>517</v>
      </c>
    </row>
    <row r="79" spans="1:20" ht="84" x14ac:dyDescent="0.2">
      <c r="A79" s="11" t="s">
        <v>18</v>
      </c>
      <c r="B79" s="11" t="s">
        <v>19</v>
      </c>
      <c r="C79" s="11" t="s">
        <v>518</v>
      </c>
      <c r="D79" s="11">
        <v>2022</v>
      </c>
      <c r="E79" s="11" t="s">
        <v>519</v>
      </c>
      <c r="F79" s="11" t="s">
        <v>22</v>
      </c>
      <c r="G79" s="11" t="s">
        <v>23</v>
      </c>
      <c r="H79" s="11" t="s">
        <v>520</v>
      </c>
      <c r="I79" s="11">
        <v>3.5</v>
      </c>
      <c r="J79" s="11">
        <v>32</v>
      </c>
      <c r="K79" s="11"/>
      <c r="L79" s="12"/>
      <c r="M79" s="12" t="s">
        <v>521</v>
      </c>
      <c r="N7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C6 , Koelkast: 1</v>
      </c>
      <c r="O79" s="11">
        <v>2</v>
      </c>
      <c r="P79" s="11"/>
      <c r="Q79" s="11" t="s">
        <v>522</v>
      </c>
      <c r="R79" s="11"/>
      <c r="S79" s="11" t="s">
        <v>523</v>
      </c>
      <c r="T79" s="11" t="s">
        <v>524</v>
      </c>
    </row>
    <row r="80" spans="1:20" x14ac:dyDescent="0.2">
      <c r="A80" s="11" t="s">
        <v>29</v>
      </c>
      <c r="B80" s="11" t="s">
        <v>525</v>
      </c>
      <c r="C80" s="11" t="s">
        <v>526</v>
      </c>
      <c r="D80" s="11">
        <v>2020</v>
      </c>
      <c r="E80" s="11" t="s">
        <v>519</v>
      </c>
      <c r="F80" s="11" t="s">
        <v>527</v>
      </c>
      <c r="G80" s="11" t="s">
        <v>23</v>
      </c>
      <c r="H80" s="11" t="s">
        <v>528</v>
      </c>
      <c r="I80" s="11">
        <v>4</v>
      </c>
      <c r="J80" s="11"/>
      <c r="K80" s="11"/>
      <c r="L80" s="12"/>
      <c r="M80" s="12"/>
      <c r="N8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0" s="11"/>
      <c r="P80" s="11"/>
      <c r="Q80" s="11" t="s">
        <v>529</v>
      </c>
      <c r="R80" s="11"/>
      <c r="S80" s="11" t="s">
        <v>530</v>
      </c>
      <c r="T80" s="11" t="s">
        <v>531</v>
      </c>
    </row>
    <row r="81" spans="1:20" ht="42" x14ac:dyDescent="0.2">
      <c r="A81" s="11" t="s">
        <v>29</v>
      </c>
      <c r="B81" s="11" t="s">
        <v>532</v>
      </c>
      <c r="C81" s="11" t="s">
        <v>533</v>
      </c>
      <c r="D81" s="11">
        <v>2023</v>
      </c>
      <c r="E81" s="11" t="s">
        <v>519</v>
      </c>
      <c r="F81" s="11" t="s">
        <v>534</v>
      </c>
      <c r="G81" s="11" t="s">
        <v>23</v>
      </c>
      <c r="H81" s="11" t="s">
        <v>535</v>
      </c>
      <c r="I81" s="11">
        <v>4</v>
      </c>
      <c r="J81" s="11"/>
      <c r="K81" s="11"/>
      <c r="L81" s="12"/>
      <c r="M81" s="12" t="s">
        <v>536</v>
      </c>
      <c r="N8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1" s="11"/>
      <c r="P81" s="11"/>
      <c r="Q81" s="11" t="s">
        <v>537</v>
      </c>
      <c r="R81" s="11"/>
      <c r="S81" s="11" t="s">
        <v>538</v>
      </c>
      <c r="T81" s="11" t="s">
        <v>539</v>
      </c>
    </row>
    <row r="82" spans="1:20" ht="70" x14ac:dyDescent="0.2">
      <c r="A82" s="11" t="s">
        <v>18</v>
      </c>
      <c r="B82" s="11" t="s">
        <v>540</v>
      </c>
      <c r="C82" s="11" t="s">
        <v>541</v>
      </c>
      <c r="D82" s="11">
        <v>2018</v>
      </c>
      <c r="E82" s="11" t="s">
        <v>519</v>
      </c>
      <c r="F82" s="11" t="s">
        <v>541</v>
      </c>
      <c r="G82" s="11" t="s">
        <v>23</v>
      </c>
      <c r="H82" s="11" t="s">
        <v>542</v>
      </c>
      <c r="I82" s="11">
        <v>3.5</v>
      </c>
      <c r="J82" s="11">
        <v>477</v>
      </c>
      <c r="K82" s="11"/>
      <c r="L82" s="12"/>
      <c r="M82" s="12" t="s">
        <v>543</v>
      </c>
      <c r="N8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C8 - D8</v>
      </c>
      <c r="O82" s="11">
        <v>2</v>
      </c>
      <c r="P82" s="11"/>
      <c r="Q82" s="11" t="s">
        <v>544</v>
      </c>
      <c r="R82" s="11"/>
      <c r="S82" s="11" t="s">
        <v>545</v>
      </c>
      <c r="T82" s="11" t="s">
        <v>546</v>
      </c>
    </row>
    <row r="83" spans="1:20" ht="70" x14ac:dyDescent="0.2">
      <c r="A83" s="11" t="s">
        <v>18</v>
      </c>
      <c r="B83" s="11" t="s">
        <v>264</v>
      </c>
      <c r="C83" s="11" t="s">
        <v>547</v>
      </c>
      <c r="D83" s="11">
        <v>2024</v>
      </c>
      <c r="E83" s="11" t="s">
        <v>519</v>
      </c>
      <c r="F83" s="11" t="s">
        <v>548</v>
      </c>
      <c r="G83" s="11" t="s">
        <v>23</v>
      </c>
      <c r="H83" s="11" t="s">
        <v>549</v>
      </c>
      <c r="I83" s="11">
        <v>3.9</v>
      </c>
      <c r="J83" s="11">
        <v>1082</v>
      </c>
      <c r="K83" s="11"/>
      <c r="L83" s="12"/>
      <c r="M83" s="12" t="s">
        <v>550</v>
      </c>
      <c r="N8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E11, F11</v>
      </c>
      <c r="O83" s="11">
        <v>2</v>
      </c>
      <c r="P83" s="11"/>
      <c r="Q83" s="11" t="s">
        <v>551</v>
      </c>
      <c r="R83" s="11"/>
      <c r="S83" s="11" t="s">
        <v>552</v>
      </c>
      <c r="T83" s="11" t="s">
        <v>553</v>
      </c>
    </row>
    <row r="84" spans="1:20" ht="42" x14ac:dyDescent="0.2">
      <c r="A84" s="11" t="s">
        <v>18</v>
      </c>
      <c r="B84" s="11" t="s">
        <v>554</v>
      </c>
      <c r="C84" s="11" t="s">
        <v>555</v>
      </c>
      <c r="D84" s="11">
        <v>2022</v>
      </c>
      <c r="E84" s="11" t="s">
        <v>519</v>
      </c>
      <c r="F84" s="11" t="s">
        <v>556</v>
      </c>
      <c r="G84" s="11" t="s">
        <v>23</v>
      </c>
      <c r="H84" s="11" t="s">
        <v>535</v>
      </c>
      <c r="I84" s="11">
        <v>3.9</v>
      </c>
      <c r="J84" s="11">
        <v>918</v>
      </c>
      <c r="K84" s="11"/>
      <c r="L84" s="12"/>
      <c r="M84" s="12" t="s">
        <v>557</v>
      </c>
      <c r="N8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A3</v>
      </c>
      <c r="O84" s="11">
        <v>1</v>
      </c>
      <c r="P84" s="11"/>
      <c r="Q84" s="11" t="s">
        <v>558</v>
      </c>
      <c r="R84" s="11"/>
      <c r="S84" s="11" t="s">
        <v>559</v>
      </c>
      <c r="T84" s="11" t="s">
        <v>560</v>
      </c>
    </row>
    <row r="85" spans="1:20" ht="56" x14ac:dyDescent="0.2">
      <c r="A85" s="11" t="s">
        <v>29</v>
      </c>
      <c r="B85" s="11" t="s">
        <v>561</v>
      </c>
      <c r="C85" s="11" t="s">
        <v>562</v>
      </c>
      <c r="D85" s="11">
        <v>2016</v>
      </c>
      <c r="E85" s="11" t="s">
        <v>519</v>
      </c>
      <c r="F85" s="11" t="s">
        <v>258</v>
      </c>
      <c r="G85" s="11" t="s">
        <v>23</v>
      </c>
      <c r="H85" s="11" t="s">
        <v>528</v>
      </c>
      <c r="I85" s="11">
        <v>3.9</v>
      </c>
      <c r="J85" s="11"/>
      <c r="K85" s="11"/>
      <c r="L85" s="12"/>
      <c r="M85" s="12" t="s">
        <v>563</v>
      </c>
      <c r="N8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5" s="11"/>
      <c r="P85" s="11"/>
      <c r="Q85" s="11" t="s">
        <v>564</v>
      </c>
      <c r="R85" s="11"/>
      <c r="S85" s="11" t="s">
        <v>565</v>
      </c>
      <c r="T85" s="11" t="s">
        <v>566</v>
      </c>
    </row>
    <row r="86" spans="1:20" ht="56" x14ac:dyDescent="0.2">
      <c r="A86" s="11" t="s">
        <v>29</v>
      </c>
      <c r="B86" s="11" t="s">
        <v>567</v>
      </c>
      <c r="C86" s="11" t="s">
        <v>568</v>
      </c>
      <c r="D86" s="11">
        <v>2020</v>
      </c>
      <c r="E86" s="11" t="s">
        <v>519</v>
      </c>
      <c r="F86" s="11" t="s">
        <v>569</v>
      </c>
      <c r="G86" s="11" t="s">
        <v>23</v>
      </c>
      <c r="H86" s="11" t="s">
        <v>535</v>
      </c>
      <c r="I86" s="11">
        <v>3.8</v>
      </c>
      <c r="J86" s="11"/>
      <c r="K86" s="11">
        <v>3.8</v>
      </c>
      <c r="L86" s="12" t="s">
        <v>570</v>
      </c>
      <c r="M86" s="12" t="s">
        <v>571</v>
      </c>
      <c r="N8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6" s="11"/>
      <c r="P86" s="11"/>
      <c r="Q86" s="11" t="s">
        <v>572</v>
      </c>
      <c r="R86" s="11"/>
      <c r="S86" s="11" t="s">
        <v>573</v>
      </c>
      <c r="T86" s="11" t="s">
        <v>574</v>
      </c>
    </row>
    <row r="87" spans="1:20" ht="70" x14ac:dyDescent="0.2">
      <c r="A87" s="11" t="s">
        <v>18</v>
      </c>
      <c r="B87" s="11" t="s">
        <v>60</v>
      </c>
      <c r="C87" s="11" t="s">
        <v>575</v>
      </c>
      <c r="D87" s="11">
        <v>2022</v>
      </c>
      <c r="E87" s="11" t="s">
        <v>519</v>
      </c>
      <c r="F87" s="11" t="s">
        <v>22</v>
      </c>
      <c r="G87" s="11" t="s">
        <v>23</v>
      </c>
      <c r="H87" s="11" t="s">
        <v>520</v>
      </c>
      <c r="I87" s="11">
        <v>3.7</v>
      </c>
      <c r="J87" s="11">
        <v>58</v>
      </c>
      <c r="K87" s="11"/>
      <c r="L87" s="12"/>
      <c r="M87" s="12" t="s">
        <v>576</v>
      </c>
      <c r="N8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D9 - E9</v>
      </c>
      <c r="O87" s="11">
        <v>2</v>
      </c>
      <c r="P87" s="11"/>
      <c r="Q87" s="11" t="s">
        <v>577</v>
      </c>
      <c r="R87" s="11"/>
      <c r="S87" s="11" t="s">
        <v>578</v>
      </c>
      <c r="T87" s="11" t="s">
        <v>579</v>
      </c>
    </row>
    <row r="88" spans="1:20" ht="42" x14ac:dyDescent="0.2">
      <c r="A88" s="11" t="s">
        <v>18</v>
      </c>
      <c r="B88" s="11" t="s">
        <v>580</v>
      </c>
      <c r="C88" s="11" t="s">
        <v>581</v>
      </c>
      <c r="D88" s="11">
        <v>2023</v>
      </c>
      <c r="E88" s="11" t="s">
        <v>519</v>
      </c>
      <c r="F88" s="11" t="s">
        <v>230</v>
      </c>
      <c r="G88" s="11" t="s">
        <v>23</v>
      </c>
      <c r="H88" s="11" t="s">
        <v>542</v>
      </c>
      <c r="I88" s="11">
        <v>3.6</v>
      </c>
      <c r="J88" s="11">
        <v>297</v>
      </c>
      <c r="K88" s="11"/>
      <c r="L88" s="12"/>
      <c r="M88" s="12" t="s">
        <v>582</v>
      </c>
      <c r="N8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8" s="11">
        <v>1</v>
      </c>
      <c r="P88" s="11"/>
      <c r="Q88" s="11" t="s">
        <v>583</v>
      </c>
      <c r="R88" s="11"/>
      <c r="S88" s="11" t="s">
        <v>584</v>
      </c>
      <c r="T88" s="11" t="s">
        <v>585</v>
      </c>
    </row>
    <row r="89" spans="1:20" ht="56" x14ac:dyDescent="0.2">
      <c r="A89" s="11" t="s">
        <v>29</v>
      </c>
      <c r="B89" s="11" t="s">
        <v>586</v>
      </c>
      <c r="C89" s="11" t="s">
        <v>587</v>
      </c>
      <c r="D89" s="11">
        <v>2021</v>
      </c>
      <c r="E89" s="11" t="s">
        <v>519</v>
      </c>
      <c r="F89" s="11" t="s">
        <v>588</v>
      </c>
      <c r="G89" s="11" t="s">
        <v>23</v>
      </c>
      <c r="H89" s="11" t="s">
        <v>520</v>
      </c>
      <c r="I89" s="11">
        <v>3.7</v>
      </c>
      <c r="J89" s="11"/>
      <c r="K89" s="11"/>
      <c r="L89" s="12"/>
      <c r="M89" s="12" t="s">
        <v>589</v>
      </c>
      <c r="N8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9" s="11"/>
      <c r="P89" s="11"/>
      <c r="Q89" s="11" t="s">
        <v>590</v>
      </c>
      <c r="R89" s="11"/>
      <c r="S89" s="11" t="s">
        <v>591</v>
      </c>
      <c r="T89" s="11" t="s">
        <v>592</v>
      </c>
    </row>
    <row r="90" spans="1:20" ht="42" x14ac:dyDescent="0.2">
      <c r="A90" s="11" t="s">
        <v>18</v>
      </c>
      <c r="B90" s="11" t="s">
        <v>593</v>
      </c>
      <c r="C90" s="11" t="s">
        <v>594</v>
      </c>
      <c r="D90" s="11">
        <v>2024</v>
      </c>
      <c r="E90" s="11" t="s">
        <v>519</v>
      </c>
      <c r="F90" s="11" t="s">
        <v>89</v>
      </c>
      <c r="G90" s="11" t="s">
        <v>90</v>
      </c>
      <c r="H90" s="11"/>
      <c r="I90" s="11"/>
      <c r="J90" s="11">
        <v>0</v>
      </c>
      <c r="K90" s="11"/>
      <c r="L90" s="12"/>
      <c r="M90" s="12" t="s">
        <v>595</v>
      </c>
      <c r="N9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</v>
      </c>
      <c r="O90" s="11">
        <v>1</v>
      </c>
      <c r="P90" s="11"/>
      <c r="Q90" s="11" t="s">
        <v>596</v>
      </c>
      <c r="R90" s="11"/>
      <c r="S90" s="11" t="s">
        <v>597</v>
      </c>
      <c r="T90" s="11" t="s">
        <v>598</v>
      </c>
    </row>
    <row r="91" spans="1:20" ht="56" x14ac:dyDescent="0.2">
      <c r="A91" s="11" t="s">
        <v>29</v>
      </c>
      <c r="B91" s="11" t="s">
        <v>599</v>
      </c>
      <c r="C91" s="11" t="s">
        <v>600</v>
      </c>
      <c r="D91" s="11">
        <v>2020</v>
      </c>
      <c r="E91" s="11" t="s">
        <v>519</v>
      </c>
      <c r="F91" s="11" t="s">
        <v>548</v>
      </c>
      <c r="G91" s="11" t="s">
        <v>23</v>
      </c>
      <c r="H91" s="11" t="s">
        <v>549</v>
      </c>
      <c r="I91" s="11">
        <v>3.4</v>
      </c>
      <c r="J91" s="11"/>
      <c r="K91" s="11"/>
      <c r="L91" s="12"/>
      <c r="M91" s="12" t="s">
        <v>601</v>
      </c>
      <c r="N9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1 in koelkast</v>
      </c>
      <c r="O91" s="11"/>
      <c r="P91" s="11"/>
      <c r="Q91" s="11" t="s">
        <v>602</v>
      </c>
      <c r="R91" s="11"/>
      <c r="S91" s="11" t="s">
        <v>603</v>
      </c>
      <c r="T91" s="11" t="s">
        <v>604</v>
      </c>
    </row>
    <row r="92" spans="1:20" ht="84" x14ac:dyDescent="0.2">
      <c r="A92" s="11" t="s">
        <v>29</v>
      </c>
      <c r="B92" s="11" t="s">
        <v>605</v>
      </c>
      <c r="C92" s="11" t="s">
        <v>606</v>
      </c>
      <c r="D92" s="11"/>
      <c r="E92" s="11" t="s">
        <v>519</v>
      </c>
      <c r="F92" s="11" t="s">
        <v>607</v>
      </c>
      <c r="G92" s="11" t="s">
        <v>23</v>
      </c>
      <c r="H92" s="11" t="s">
        <v>528</v>
      </c>
      <c r="I92" s="11">
        <v>3.7</v>
      </c>
      <c r="J92" s="11"/>
      <c r="K92" s="11"/>
      <c r="L92" s="12"/>
      <c r="M92" s="12" t="s">
        <v>608</v>
      </c>
      <c r="N9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92" s="11"/>
      <c r="P92" s="11"/>
      <c r="Q92" s="11" t="s">
        <v>609</v>
      </c>
      <c r="R92" s="11"/>
      <c r="S92" s="11" t="s">
        <v>610</v>
      </c>
      <c r="T92" s="11" t="s">
        <v>611</v>
      </c>
    </row>
    <row r="93" spans="1:20" ht="70" x14ac:dyDescent="0.2">
      <c r="A93" s="11" t="s">
        <v>18</v>
      </c>
      <c r="B93" s="11" t="s">
        <v>465</v>
      </c>
      <c r="C93" s="11" t="s">
        <v>612</v>
      </c>
      <c r="D93" s="11">
        <v>2022</v>
      </c>
      <c r="E93" s="11" t="s">
        <v>519</v>
      </c>
      <c r="F93" s="11" t="s">
        <v>467</v>
      </c>
      <c r="G93" s="11" t="s">
        <v>468</v>
      </c>
      <c r="H93" s="11"/>
      <c r="I93" s="11">
        <v>3.6</v>
      </c>
      <c r="J93" s="11">
        <v>218</v>
      </c>
      <c r="K93" s="11"/>
      <c r="L93" s="12"/>
      <c r="M93" s="12" t="s">
        <v>613</v>
      </c>
      <c r="N9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B6</v>
      </c>
      <c r="O93" s="11">
        <v>1</v>
      </c>
      <c r="P93" s="11"/>
      <c r="Q93" s="11" t="s">
        <v>614</v>
      </c>
      <c r="R93" s="11"/>
      <c r="S93" s="11" t="s">
        <v>615</v>
      </c>
      <c r="T93" s="11" t="s">
        <v>616</v>
      </c>
    </row>
    <row r="94" spans="1:20" ht="70" x14ac:dyDescent="0.2">
      <c r="A94" s="11" t="s">
        <v>18</v>
      </c>
      <c r="B94" s="11" t="s">
        <v>617</v>
      </c>
      <c r="C94" s="11" t="s">
        <v>618</v>
      </c>
      <c r="D94" s="11">
        <v>2022</v>
      </c>
      <c r="E94" s="11" t="s">
        <v>519</v>
      </c>
      <c r="F94" s="11" t="s">
        <v>619</v>
      </c>
      <c r="G94" s="11" t="s">
        <v>152</v>
      </c>
      <c r="H94" s="11" t="s">
        <v>620</v>
      </c>
      <c r="I94" s="11">
        <v>3.2</v>
      </c>
      <c r="J94" s="11">
        <v>169</v>
      </c>
      <c r="K94" s="11"/>
      <c r="L94" s="12"/>
      <c r="M94" s="12" t="s">
        <v>621</v>
      </c>
      <c r="N9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I5 - J5</v>
      </c>
      <c r="O94" s="11">
        <v>2</v>
      </c>
      <c r="P94" s="11"/>
      <c r="Q94" s="11" t="s">
        <v>622</v>
      </c>
      <c r="R94" s="11"/>
      <c r="S94" s="11" t="s">
        <v>623</v>
      </c>
      <c r="T94" s="11" t="s">
        <v>624</v>
      </c>
    </row>
    <row r="95" spans="1:20" ht="70" x14ac:dyDescent="0.2">
      <c r="A95" s="11" t="s">
        <v>18</v>
      </c>
      <c r="B95" s="11" t="s">
        <v>625</v>
      </c>
      <c r="C95" s="11" t="s">
        <v>626</v>
      </c>
      <c r="D95" s="11">
        <v>2025</v>
      </c>
      <c r="E95" s="11" t="s">
        <v>519</v>
      </c>
      <c r="F95" s="11" t="s">
        <v>607</v>
      </c>
      <c r="G95" s="11" t="s">
        <v>23</v>
      </c>
      <c r="H95" s="11" t="s">
        <v>528</v>
      </c>
      <c r="I95" s="11">
        <v>3.8</v>
      </c>
      <c r="J95" s="11">
        <v>72</v>
      </c>
      <c r="K95" s="11"/>
      <c r="L95" s="12"/>
      <c r="M95" s="12" t="s">
        <v>627</v>
      </c>
      <c r="N9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H7</v>
      </c>
      <c r="O95" s="11">
        <v>1</v>
      </c>
      <c r="P95" s="11"/>
      <c r="Q95" s="11" t="s">
        <v>628</v>
      </c>
      <c r="R95" s="11"/>
      <c r="S95" s="11" t="s">
        <v>629</v>
      </c>
      <c r="T95" s="11" t="s">
        <v>630</v>
      </c>
    </row>
    <row r="96" spans="1:20" ht="42" x14ac:dyDescent="0.2">
      <c r="A96" s="11" t="s">
        <v>18</v>
      </c>
      <c r="B96" s="11" t="s">
        <v>631</v>
      </c>
      <c r="C96" s="11" t="s">
        <v>632</v>
      </c>
      <c r="D96" s="11"/>
      <c r="E96" s="11" t="s">
        <v>519</v>
      </c>
      <c r="F96" s="11" t="s">
        <v>89</v>
      </c>
      <c r="G96" s="11" t="s">
        <v>83</v>
      </c>
      <c r="H96" s="11" t="s">
        <v>633</v>
      </c>
      <c r="I96" s="11">
        <v>3.8</v>
      </c>
      <c r="J96" s="11">
        <v>70</v>
      </c>
      <c r="K96" s="11"/>
      <c r="L96" s="12"/>
      <c r="M96" s="12" t="s">
        <v>634</v>
      </c>
      <c r="N9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B11, C11, D11</v>
      </c>
      <c r="O96" s="11">
        <v>3</v>
      </c>
      <c r="P96" s="11"/>
      <c r="Q96" s="11" t="s">
        <v>635</v>
      </c>
      <c r="R96" s="11"/>
      <c r="S96" s="11" t="s">
        <v>636</v>
      </c>
      <c r="T96" s="11" t="s">
        <v>637</v>
      </c>
    </row>
    <row r="97" spans="1:20" ht="98" x14ac:dyDescent="0.2">
      <c r="A97" s="11" t="s">
        <v>29</v>
      </c>
      <c r="B97" s="11" t="s">
        <v>19</v>
      </c>
      <c r="C97" s="11" t="s">
        <v>638</v>
      </c>
      <c r="D97" s="11"/>
      <c r="E97" s="11" t="s">
        <v>639</v>
      </c>
      <c r="F97" s="11" t="s">
        <v>640</v>
      </c>
      <c r="G97" s="11" t="s">
        <v>23</v>
      </c>
      <c r="H97" s="11" t="s">
        <v>641</v>
      </c>
      <c r="I97" s="11">
        <v>3.9</v>
      </c>
      <c r="J97" s="11"/>
      <c r="K97" s="11"/>
      <c r="L97" s="12"/>
      <c r="M97" s="12" t="s">
        <v>642</v>
      </c>
      <c r="N9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koelkast, MAGNUM</v>
      </c>
      <c r="O97" s="11"/>
      <c r="P97" s="11"/>
      <c r="Q97" s="11" t="s">
        <v>643</v>
      </c>
      <c r="R97" s="11" t="s">
        <v>644</v>
      </c>
      <c r="S97" s="11" t="s">
        <v>645</v>
      </c>
      <c r="T97" s="11" t="s">
        <v>646</v>
      </c>
    </row>
    <row r="98" spans="1:20" ht="42" x14ac:dyDescent="0.2">
      <c r="A98" s="11" t="s">
        <v>18</v>
      </c>
      <c r="B98" s="11" t="s">
        <v>19</v>
      </c>
      <c r="C98" s="11" t="s">
        <v>638</v>
      </c>
      <c r="D98" s="11">
        <v>2019</v>
      </c>
      <c r="E98" s="11" t="s">
        <v>639</v>
      </c>
      <c r="F98" s="11" t="s">
        <v>640</v>
      </c>
      <c r="G98" s="11" t="s">
        <v>23</v>
      </c>
      <c r="H98" s="11" t="s">
        <v>641</v>
      </c>
      <c r="I98" s="11">
        <v>3.9</v>
      </c>
      <c r="J98" s="11">
        <v>193</v>
      </c>
      <c r="K98" s="11"/>
      <c r="L98" s="12"/>
      <c r="M98" s="12" t="s">
        <v>647</v>
      </c>
      <c r="N9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A2</v>
      </c>
      <c r="O98" s="11">
        <v>1</v>
      </c>
      <c r="P98" s="11"/>
      <c r="Q98" s="11" t="s">
        <v>648</v>
      </c>
      <c r="R98" s="11" t="s">
        <v>644</v>
      </c>
      <c r="S98" s="11" t="s">
        <v>649</v>
      </c>
      <c r="T98" s="11" t="s">
        <v>650</v>
      </c>
    </row>
    <row r="99" spans="1:20" x14ac:dyDescent="0.2">
      <c r="A99" s="11" t="s">
        <v>29</v>
      </c>
      <c r="B99" s="11" t="s">
        <v>651</v>
      </c>
      <c r="C99" s="11" t="s">
        <v>652</v>
      </c>
      <c r="D99" s="11">
        <v>2021</v>
      </c>
      <c r="E99" s="11" t="s">
        <v>639</v>
      </c>
      <c r="F99" s="11" t="s">
        <v>652</v>
      </c>
      <c r="G99" s="11" t="s">
        <v>152</v>
      </c>
      <c r="H99" s="11" t="s">
        <v>653</v>
      </c>
      <c r="I99" s="11">
        <v>4</v>
      </c>
      <c r="J99" s="11"/>
      <c r="K99" s="11"/>
      <c r="L99" s="12"/>
      <c r="M99" s="12"/>
      <c r="N9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99" s="11"/>
      <c r="P99" s="11"/>
      <c r="Q99" s="11" t="s">
        <v>654</v>
      </c>
      <c r="R99" s="11"/>
      <c r="S99" s="11" t="s">
        <v>655</v>
      </c>
      <c r="T99" s="11" t="s">
        <v>656</v>
      </c>
    </row>
    <row r="100" spans="1:20" x14ac:dyDescent="0.2">
      <c r="A100" s="11" t="s">
        <v>37</v>
      </c>
      <c r="B100" s="11" t="s">
        <v>651</v>
      </c>
      <c r="C100" s="11" t="s">
        <v>652</v>
      </c>
      <c r="D100" s="11">
        <v>2021</v>
      </c>
      <c r="E100" s="11" t="s">
        <v>639</v>
      </c>
      <c r="F100" s="11" t="s">
        <v>652</v>
      </c>
      <c r="G100" s="11" t="s">
        <v>152</v>
      </c>
      <c r="H100" s="11" t="s">
        <v>653</v>
      </c>
      <c r="I100" s="11">
        <v>4</v>
      </c>
      <c r="J100" s="11"/>
      <c r="K100" s="11"/>
      <c r="L100" s="12"/>
      <c r="M100" s="12"/>
      <c r="N10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0" s="11"/>
      <c r="P100" s="11" t="s">
        <v>657</v>
      </c>
      <c r="Q100" s="11" t="s">
        <v>654</v>
      </c>
      <c r="R100" s="11"/>
      <c r="S100" s="11" t="s">
        <v>655</v>
      </c>
      <c r="T100" s="11" t="s">
        <v>656</v>
      </c>
    </row>
    <row r="101" spans="1:20" ht="42" x14ac:dyDescent="0.2">
      <c r="A101" s="11" t="s">
        <v>29</v>
      </c>
      <c r="B101" s="11" t="s">
        <v>658</v>
      </c>
      <c r="C101" s="11" t="s">
        <v>659</v>
      </c>
      <c r="D101" s="11"/>
      <c r="E101" s="11" t="s">
        <v>639</v>
      </c>
      <c r="F101" s="11" t="s">
        <v>660</v>
      </c>
      <c r="G101" s="11" t="s">
        <v>152</v>
      </c>
      <c r="H101" s="11" t="s">
        <v>661</v>
      </c>
      <c r="I101" s="11">
        <v>3.6</v>
      </c>
      <c r="J101" s="11"/>
      <c r="K101" s="11"/>
      <c r="L101" s="12"/>
      <c r="M101" s="12" t="s">
        <v>662</v>
      </c>
      <c r="N10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1" s="11"/>
      <c r="P101" s="11"/>
      <c r="Q101" s="11" t="s">
        <v>663</v>
      </c>
      <c r="R101" s="11"/>
      <c r="S101" s="11" t="s">
        <v>664</v>
      </c>
      <c r="T101" s="11" t="s">
        <v>665</v>
      </c>
    </row>
    <row r="102" spans="1:20" ht="42" x14ac:dyDescent="0.2">
      <c r="A102" s="11" t="s">
        <v>29</v>
      </c>
      <c r="B102" s="11" t="s">
        <v>666</v>
      </c>
      <c r="C102" s="11" t="s">
        <v>667</v>
      </c>
      <c r="D102" s="11">
        <v>2001</v>
      </c>
      <c r="E102" s="11" t="s">
        <v>639</v>
      </c>
      <c r="F102" s="11" t="s">
        <v>667</v>
      </c>
      <c r="G102" s="11" t="s">
        <v>152</v>
      </c>
      <c r="H102" s="11" t="s">
        <v>661</v>
      </c>
      <c r="I102" s="11">
        <v>3.8</v>
      </c>
      <c r="J102" s="11"/>
      <c r="K102" s="11"/>
      <c r="L102" s="12"/>
      <c r="M102" s="12" t="s">
        <v>668</v>
      </c>
      <c r="N10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2" s="11"/>
      <c r="P102" s="11"/>
      <c r="Q102" s="11" t="s">
        <v>669</v>
      </c>
      <c r="R102" s="11"/>
      <c r="S102" s="11" t="s">
        <v>670</v>
      </c>
      <c r="T102" s="11" t="s">
        <v>671</v>
      </c>
    </row>
    <row r="103" spans="1:20" ht="56" x14ac:dyDescent="0.2">
      <c r="A103" s="11" t="s">
        <v>29</v>
      </c>
      <c r="B103" s="11" t="s">
        <v>666</v>
      </c>
      <c r="C103" s="11" t="s">
        <v>667</v>
      </c>
      <c r="D103" s="11">
        <v>2001</v>
      </c>
      <c r="E103" s="11" t="s">
        <v>639</v>
      </c>
      <c r="F103" s="11" t="s">
        <v>667</v>
      </c>
      <c r="G103" s="11" t="s">
        <v>152</v>
      </c>
      <c r="H103" s="11" t="s">
        <v>661</v>
      </c>
      <c r="I103" s="11">
        <v>3.8</v>
      </c>
      <c r="J103" s="11"/>
      <c r="K103" s="11"/>
      <c r="L103" s="12"/>
      <c r="M103" s="12" t="s">
        <v>672</v>
      </c>
      <c r="N10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3" s="11"/>
      <c r="P103" s="11"/>
      <c r="Q103" s="11" t="s">
        <v>673</v>
      </c>
      <c r="R103" s="11"/>
      <c r="S103" s="11" t="s">
        <v>670</v>
      </c>
      <c r="T103" s="11" t="s">
        <v>674</v>
      </c>
    </row>
    <row r="104" spans="1:20" x14ac:dyDescent="0.2">
      <c r="A104" s="11" t="s">
        <v>29</v>
      </c>
      <c r="B104" s="11" t="s">
        <v>675</v>
      </c>
      <c r="C104" s="11" t="s">
        <v>676</v>
      </c>
      <c r="D104" s="11"/>
      <c r="E104" s="11" t="s">
        <v>639</v>
      </c>
      <c r="F104" s="11" t="s">
        <v>677</v>
      </c>
      <c r="G104" s="11" t="s">
        <v>23</v>
      </c>
      <c r="H104" s="11" t="s">
        <v>678</v>
      </c>
      <c r="I104" s="11">
        <v>4.0999999999999996</v>
      </c>
      <c r="J104" s="11"/>
      <c r="K104" s="11"/>
      <c r="L104" s="12"/>
      <c r="M104" s="12" t="s">
        <v>50</v>
      </c>
      <c r="N10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4" s="11"/>
      <c r="P104" s="11"/>
      <c r="Q104" s="11" t="s">
        <v>679</v>
      </c>
      <c r="R104" s="11"/>
      <c r="S104" s="11" t="s">
        <v>680</v>
      </c>
      <c r="T104" s="11" t="s">
        <v>681</v>
      </c>
    </row>
    <row r="105" spans="1:20" ht="56" x14ac:dyDescent="0.2">
      <c r="A105" s="11" t="s">
        <v>29</v>
      </c>
      <c r="B105" s="11" t="s">
        <v>234</v>
      </c>
      <c r="C105" s="11" t="s">
        <v>682</v>
      </c>
      <c r="D105" s="11"/>
      <c r="E105" s="11" t="s">
        <v>639</v>
      </c>
      <c r="F105" s="11" t="s">
        <v>683</v>
      </c>
      <c r="G105" s="11" t="s">
        <v>152</v>
      </c>
      <c r="H105" s="11" t="s">
        <v>684</v>
      </c>
      <c r="I105" s="11">
        <v>3.8</v>
      </c>
      <c r="J105" s="11"/>
      <c r="K105" s="11"/>
      <c r="L105" s="12"/>
      <c r="M105" s="12" t="s">
        <v>685</v>
      </c>
      <c r="N10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5" s="11"/>
      <c r="P105" s="11"/>
      <c r="Q105" s="11" t="s">
        <v>686</v>
      </c>
      <c r="R105" s="11"/>
      <c r="S105" s="11" t="s">
        <v>687</v>
      </c>
      <c r="T105" s="11" t="s">
        <v>688</v>
      </c>
    </row>
    <row r="106" spans="1:20" ht="70" x14ac:dyDescent="0.2">
      <c r="A106" s="11" t="s">
        <v>29</v>
      </c>
      <c r="B106" s="11" t="s">
        <v>689</v>
      </c>
      <c r="C106" s="11" t="s">
        <v>690</v>
      </c>
      <c r="D106" s="11"/>
      <c r="E106" s="11" t="s">
        <v>639</v>
      </c>
      <c r="F106" s="11" t="s">
        <v>691</v>
      </c>
      <c r="G106" s="11" t="s">
        <v>75</v>
      </c>
      <c r="H106" s="11" t="s">
        <v>692</v>
      </c>
      <c r="I106" s="11">
        <v>3.5</v>
      </c>
      <c r="J106" s="11"/>
      <c r="K106" s="11">
        <v>3.7</v>
      </c>
      <c r="L106" s="12"/>
      <c r="M106" s="12" t="s">
        <v>693</v>
      </c>
      <c r="N10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6" s="11"/>
      <c r="P106" s="11"/>
      <c r="Q106" s="11" t="s">
        <v>694</v>
      </c>
      <c r="R106" s="11"/>
      <c r="S106" s="11" t="s">
        <v>695</v>
      </c>
      <c r="T106" s="11" t="s">
        <v>696</v>
      </c>
    </row>
    <row r="107" spans="1:20" ht="42" x14ac:dyDescent="0.2">
      <c r="A107" s="11" t="s">
        <v>18</v>
      </c>
      <c r="B107" s="11" t="s">
        <v>54</v>
      </c>
      <c r="C107" s="11" t="s">
        <v>638</v>
      </c>
      <c r="D107" s="11"/>
      <c r="E107" s="11" t="s">
        <v>639</v>
      </c>
      <c r="F107" s="11" t="s">
        <v>640</v>
      </c>
      <c r="G107" s="11" t="s">
        <v>23</v>
      </c>
      <c r="H107" s="11" t="s">
        <v>641</v>
      </c>
      <c r="I107" s="11">
        <v>3.8</v>
      </c>
      <c r="J107" s="11">
        <v>64</v>
      </c>
      <c r="K107" s="11">
        <v>4.0999999999999996</v>
      </c>
      <c r="L107" s="12" t="s">
        <v>697</v>
      </c>
      <c r="M107" s="12" t="s">
        <v>698</v>
      </c>
      <c r="N10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C3</v>
      </c>
      <c r="O107" s="11">
        <v>1</v>
      </c>
      <c r="P107" s="11"/>
      <c r="Q107" s="11" t="s">
        <v>699</v>
      </c>
      <c r="R107" s="11"/>
      <c r="S107" s="11" t="s">
        <v>700</v>
      </c>
      <c r="T107" s="11" t="s">
        <v>701</v>
      </c>
    </row>
    <row r="108" spans="1:20" ht="42" x14ac:dyDescent="0.2">
      <c r="A108" s="11" t="s">
        <v>18</v>
      </c>
      <c r="B108" s="11" t="s">
        <v>702</v>
      </c>
      <c r="C108" s="11" t="s">
        <v>703</v>
      </c>
      <c r="D108" s="11">
        <v>2020</v>
      </c>
      <c r="E108" s="11" t="s">
        <v>639</v>
      </c>
      <c r="F108" s="11" t="s">
        <v>467</v>
      </c>
      <c r="G108" s="11" t="s">
        <v>468</v>
      </c>
      <c r="H108" s="11"/>
      <c r="I108" s="11">
        <v>3.8</v>
      </c>
      <c r="J108" s="11">
        <v>538</v>
      </c>
      <c r="K108" s="11"/>
      <c r="L108" s="12"/>
      <c r="M108" s="12" t="s">
        <v>704</v>
      </c>
      <c r="N10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C12 - D12</v>
      </c>
      <c r="O108" s="11">
        <v>2</v>
      </c>
      <c r="P108" s="11"/>
      <c r="Q108" s="11" t="s">
        <v>705</v>
      </c>
      <c r="R108" s="11"/>
      <c r="S108" s="11" t="s">
        <v>706</v>
      </c>
      <c r="T108" s="11" t="s">
        <v>707</v>
      </c>
    </row>
    <row r="109" spans="1:20" ht="56" x14ac:dyDescent="0.2">
      <c r="A109" s="11" t="s">
        <v>18</v>
      </c>
      <c r="B109" s="11" t="s">
        <v>702</v>
      </c>
      <c r="C109" s="11" t="s">
        <v>708</v>
      </c>
      <c r="D109" s="11">
        <v>2020</v>
      </c>
      <c r="E109" s="11" t="s">
        <v>639</v>
      </c>
      <c r="F109" s="11" t="s">
        <v>467</v>
      </c>
      <c r="G109" s="11" t="s">
        <v>468</v>
      </c>
      <c r="H109" s="11"/>
      <c r="I109" s="11">
        <v>4.0999999999999996</v>
      </c>
      <c r="J109" s="11">
        <v>240</v>
      </c>
      <c r="K109" s="11"/>
      <c r="L109" s="12"/>
      <c r="M109" s="12" t="s">
        <v>709</v>
      </c>
      <c r="N10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B12, Koelkast:</v>
      </c>
      <c r="O109" s="11">
        <v>1</v>
      </c>
      <c r="P109" s="11"/>
      <c r="Q109" s="11" t="s">
        <v>710</v>
      </c>
      <c r="R109" s="11"/>
      <c r="S109" s="11" t="s">
        <v>711</v>
      </c>
      <c r="T109" s="11" t="s">
        <v>712</v>
      </c>
    </row>
    <row r="110" spans="1:20" ht="70" x14ac:dyDescent="0.2">
      <c r="A110" s="11" t="s">
        <v>18</v>
      </c>
      <c r="B110" s="11" t="s">
        <v>702</v>
      </c>
      <c r="C110" s="11" t="s">
        <v>708</v>
      </c>
      <c r="D110" s="11">
        <v>2022</v>
      </c>
      <c r="E110" s="11" t="s">
        <v>639</v>
      </c>
      <c r="F110" s="11" t="s">
        <v>467</v>
      </c>
      <c r="G110" s="11" t="s">
        <v>468</v>
      </c>
      <c r="H110" s="11"/>
      <c r="I110" s="11">
        <v>4.0999999999999996</v>
      </c>
      <c r="J110" s="11">
        <v>240</v>
      </c>
      <c r="K110" s="11"/>
      <c r="L110" s="12"/>
      <c r="M110" s="12" t="s">
        <v>713</v>
      </c>
      <c r="N11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G11 - H11 - I11 - J11</v>
      </c>
      <c r="O110" s="11">
        <v>5</v>
      </c>
      <c r="P110" s="11"/>
      <c r="Q110" s="11" t="s">
        <v>714</v>
      </c>
      <c r="R110" s="11"/>
      <c r="S110" s="11" t="s">
        <v>715</v>
      </c>
      <c r="T110" s="11" t="s">
        <v>716</v>
      </c>
    </row>
    <row r="111" spans="1:20" ht="42" x14ac:dyDescent="0.2">
      <c r="A111" s="11" t="s">
        <v>29</v>
      </c>
      <c r="B111" s="11" t="s">
        <v>717</v>
      </c>
      <c r="C111" s="11" t="s">
        <v>718</v>
      </c>
      <c r="D111" s="11">
        <v>2014</v>
      </c>
      <c r="E111" s="11" t="s">
        <v>639</v>
      </c>
      <c r="F111" s="11" t="s">
        <v>719</v>
      </c>
      <c r="G111" s="11" t="s">
        <v>720</v>
      </c>
      <c r="H111" s="11"/>
      <c r="I111" s="11">
        <v>3.7</v>
      </c>
      <c r="J111" s="11"/>
      <c r="K111" s="11"/>
      <c r="L111" s="12"/>
      <c r="M111" s="12" t="s">
        <v>721</v>
      </c>
      <c r="N11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1" s="11"/>
      <c r="P111" s="11"/>
      <c r="Q111" s="11" t="s">
        <v>722</v>
      </c>
      <c r="R111" s="11"/>
      <c r="S111" s="11" t="s">
        <v>723</v>
      </c>
      <c r="T111" s="11" t="s">
        <v>724</v>
      </c>
    </row>
    <row r="112" spans="1:20" x14ac:dyDescent="0.2">
      <c r="A112" s="11" t="s">
        <v>29</v>
      </c>
      <c r="B112" s="11" t="s">
        <v>725</v>
      </c>
      <c r="C112" s="11" t="s">
        <v>726</v>
      </c>
      <c r="D112" s="11">
        <v>2021</v>
      </c>
      <c r="E112" s="11" t="s">
        <v>639</v>
      </c>
      <c r="F112" s="11" t="s">
        <v>652</v>
      </c>
      <c r="G112" s="11" t="s">
        <v>152</v>
      </c>
      <c r="H112" s="11" t="s">
        <v>653</v>
      </c>
      <c r="I112" s="11">
        <v>4.0999999999999996</v>
      </c>
      <c r="J112" s="11"/>
      <c r="K112" s="11">
        <v>4.3</v>
      </c>
      <c r="L112" s="12" t="s">
        <v>727</v>
      </c>
      <c r="M112" s="12" t="s">
        <v>728</v>
      </c>
      <c r="N11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2" s="11"/>
      <c r="P112" s="11"/>
      <c r="Q112" s="11" t="s">
        <v>729</v>
      </c>
      <c r="R112" s="11"/>
      <c r="S112" s="11" t="s">
        <v>730</v>
      </c>
      <c r="T112" s="11" t="s">
        <v>731</v>
      </c>
    </row>
    <row r="113" spans="1:20" ht="84" x14ac:dyDescent="0.2">
      <c r="A113" s="11" t="s">
        <v>29</v>
      </c>
      <c r="B113" s="11" t="s">
        <v>732</v>
      </c>
      <c r="C113" s="11" t="s">
        <v>733</v>
      </c>
      <c r="D113" s="11"/>
      <c r="E113" s="11" t="s">
        <v>639</v>
      </c>
      <c r="F113" s="11" t="s">
        <v>734</v>
      </c>
      <c r="G113" s="11" t="s">
        <v>23</v>
      </c>
      <c r="H113" s="11" t="s">
        <v>641</v>
      </c>
      <c r="I113" s="11">
        <v>3.8</v>
      </c>
      <c r="J113" s="11"/>
      <c r="K113" s="11"/>
      <c r="L113" s="12"/>
      <c r="M113" s="12" t="s">
        <v>735</v>
      </c>
      <c r="N11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3" s="11"/>
      <c r="P113" s="11"/>
      <c r="Q113" s="11" t="s">
        <v>736</v>
      </c>
      <c r="R113" s="11"/>
      <c r="S113" s="11" t="s">
        <v>737</v>
      </c>
      <c r="T113" s="11" t="s">
        <v>738</v>
      </c>
    </row>
    <row r="114" spans="1:20" x14ac:dyDescent="0.2">
      <c r="A114" s="11" t="s">
        <v>29</v>
      </c>
      <c r="B114" s="11" t="s">
        <v>739</v>
      </c>
      <c r="C114" s="11" t="s">
        <v>740</v>
      </c>
      <c r="D114" s="11">
        <v>2016</v>
      </c>
      <c r="E114" s="11" t="s">
        <v>639</v>
      </c>
      <c r="F114" s="11" t="s">
        <v>734</v>
      </c>
      <c r="G114" s="11" t="s">
        <v>23</v>
      </c>
      <c r="H114" s="11" t="s">
        <v>641</v>
      </c>
      <c r="I114" s="11">
        <v>3.9</v>
      </c>
      <c r="J114" s="11"/>
      <c r="K114" s="11"/>
      <c r="L114" s="12"/>
      <c r="M114" s="12"/>
      <c r="N11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4" s="11"/>
      <c r="P114" s="11"/>
      <c r="Q114" s="11" t="s">
        <v>741</v>
      </c>
      <c r="R114" s="11"/>
      <c r="S114" s="11" t="s">
        <v>742</v>
      </c>
      <c r="T114" s="11" t="s">
        <v>743</v>
      </c>
    </row>
    <row r="115" spans="1:20" ht="70" x14ac:dyDescent="0.2">
      <c r="A115" s="11" t="s">
        <v>18</v>
      </c>
      <c r="B115" s="11" t="s">
        <v>744</v>
      </c>
      <c r="C115" s="11" t="s">
        <v>745</v>
      </c>
      <c r="D115" s="11"/>
      <c r="E115" s="11" t="s">
        <v>639</v>
      </c>
      <c r="F115" s="11" t="s">
        <v>677</v>
      </c>
      <c r="G115" s="11" t="s">
        <v>23</v>
      </c>
      <c r="H115" s="11" t="s">
        <v>678</v>
      </c>
      <c r="I115" s="11">
        <v>3.7</v>
      </c>
      <c r="J115" s="11">
        <v>2115</v>
      </c>
      <c r="K115" s="11"/>
      <c r="L115" s="12"/>
      <c r="M115" s="12" t="s">
        <v>746</v>
      </c>
      <c r="N11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B10</v>
      </c>
      <c r="O115" s="11">
        <v>1</v>
      </c>
      <c r="P115" s="11"/>
      <c r="Q115" s="11" t="s">
        <v>747</v>
      </c>
      <c r="R115" s="11"/>
      <c r="S115" s="11" t="s">
        <v>748</v>
      </c>
      <c r="T115" s="11" t="s">
        <v>749</v>
      </c>
    </row>
    <row r="116" spans="1:20" ht="70" x14ac:dyDescent="0.2">
      <c r="A116" s="11" t="s">
        <v>29</v>
      </c>
      <c r="B116" s="11" t="s">
        <v>599</v>
      </c>
      <c r="C116" s="11" t="s">
        <v>750</v>
      </c>
      <c r="D116" s="11"/>
      <c r="E116" s="11" t="s">
        <v>639</v>
      </c>
      <c r="F116" s="11" t="s">
        <v>640</v>
      </c>
      <c r="G116" s="11" t="s">
        <v>23</v>
      </c>
      <c r="H116" s="11" t="s">
        <v>641</v>
      </c>
      <c r="I116" s="11">
        <v>3.7</v>
      </c>
      <c r="J116" s="11"/>
      <c r="K116" s="11"/>
      <c r="L116" s="12"/>
      <c r="M116" s="12" t="s">
        <v>751</v>
      </c>
      <c r="N11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6" s="11"/>
      <c r="P116" s="11"/>
      <c r="Q116" s="11" t="s">
        <v>752</v>
      </c>
      <c r="R116" s="11"/>
      <c r="S116" s="11" t="s">
        <v>753</v>
      </c>
      <c r="T116" s="11" t="s">
        <v>754</v>
      </c>
    </row>
    <row r="117" spans="1:20" ht="70" x14ac:dyDescent="0.2">
      <c r="A117" s="11" t="s">
        <v>29</v>
      </c>
      <c r="B117" s="11" t="s">
        <v>599</v>
      </c>
      <c r="C117" s="11" t="s">
        <v>755</v>
      </c>
      <c r="D117" s="11"/>
      <c r="E117" s="11" t="s">
        <v>639</v>
      </c>
      <c r="F117" s="11" t="s">
        <v>640</v>
      </c>
      <c r="G117" s="11" t="s">
        <v>23</v>
      </c>
      <c r="H117" s="11" t="s">
        <v>641</v>
      </c>
      <c r="I117" s="11">
        <v>3.6</v>
      </c>
      <c r="J117" s="11"/>
      <c r="K117" s="11"/>
      <c r="L117" s="12"/>
      <c r="M117" s="12" t="s">
        <v>756</v>
      </c>
      <c r="N11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7" s="11"/>
      <c r="P117" s="11"/>
      <c r="Q117" s="11" t="s">
        <v>757</v>
      </c>
      <c r="R117" s="11"/>
      <c r="S117" s="11" t="s">
        <v>758</v>
      </c>
      <c r="T117" s="11" t="s">
        <v>759</v>
      </c>
    </row>
    <row r="118" spans="1:20" ht="56" x14ac:dyDescent="0.2">
      <c r="A118" s="11" t="s">
        <v>29</v>
      </c>
      <c r="B118" s="11" t="s">
        <v>760</v>
      </c>
      <c r="C118" s="11" t="s">
        <v>761</v>
      </c>
      <c r="D118" s="11"/>
      <c r="E118" s="11" t="s">
        <v>639</v>
      </c>
      <c r="F118" s="11" t="s">
        <v>762</v>
      </c>
      <c r="G118" s="11" t="s">
        <v>326</v>
      </c>
      <c r="H118" s="11" t="s">
        <v>763</v>
      </c>
      <c r="I118" s="11">
        <v>3.7</v>
      </c>
      <c r="J118" s="11"/>
      <c r="K118" s="11"/>
      <c r="L118" s="12"/>
      <c r="M118" s="12" t="s">
        <v>764</v>
      </c>
      <c r="N11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8" s="11"/>
      <c r="P118" s="11"/>
      <c r="Q118" s="11" t="s">
        <v>765</v>
      </c>
      <c r="R118" s="11"/>
      <c r="S118" s="11" t="s">
        <v>766</v>
      </c>
      <c r="T118" s="11" t="s">
        <v>767</v>
      </c>
    </row>
    <row r="119" spans="1:20" x14ac:dyDescent="0.2">
      <c r="A119" s="11" t="s">
        <v>29</v>
      </c>
      <c r="B119" s="11" t="s">
        <v>768</v>
      </c>
      <c r="C119" s="11" t="s">
        <v>769</v>
      </c>
      <c r="D119" s="11"/>
      <c r="E119" s="11" t="s">
        <v>639</v>
      </c>
      <c r="F119" s="11" t="s">
        <v>677</v>
      </c>
      <c r="G119" s="11" t="s">
        <v>23</v>
      </c>
      <c r="H119" s="11" t="s">
        <v>678</v>
      </c>
      <c r="I119" s="11">
        <v>4</v>
      </c>
      <c r="J119" s="11"/>
      <c r="K119" s="11"/>
      <c r="L119" s="12"/>
      <c r="M119" s="12" t="s">
        <v>50</v>
      </c>
      <c r="N11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9" s="11"/>
      <c r="P119" s="11"/>
      <c r="Q119" s="11" t="s">
        <v>770</v>
      </c>
      <c r="R119" s="11"/>
      <c r="S119" s="11" t="s">
        <v>771</v>
      </c>
      <c r="T119" s="11" t="s">
        <v>772</v>
      </c>
    </row>
    <row r="120" spans="1:20" ht="56" x14ac:dyDescent="0.2">
      <c r="A120" s="11" t="s">
        <v>18</v>
      </c>
      <c r="B120" s="11" t="s">
        <v>465</v>
      </c>
      <c r="C120" s="11" t="s">
        <v>773</v>
      </c>
      <c r="D120" s="11">
        <v>2022</v>
      </c>
      <c r="E120" s="11" t="s">
        <v>639</v>
      </c>
      <c r="F120" s="11" t="s">
        <v>467</v>
      </c>
      <c r="G120" s="11" t="s">
        <v>468</v>
      </c>
      <c r="H120" s="11"/>
      <c r="I120" s="11">
        <v>4.0999999999999996</v>
      </c>
      <c r="J120" s="11">
        <v>44</v>
      </c>
      <c r="K120" s="11"/>
      <c r="L120" s="12"/>
      <c r="M120" s="12" t="s">
        <v>774</v>
      </c>
      <c r="N12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Bar: 3</v>
      </c>
      <c r="O120" s="11">
        <v>3</v>
      </c>
      <c r="P120" s="11"/>
      <c r="Q120" s="11" t="s">
        <v>775</v>
      </c>
      <c r="R120" s="11"/>
      <c r="S120" s="11" t="s">
        <v>776</v>
      </c>
      <c r="T120" s="11" t="s">
        <v>777</v>
      </c>
    </row>
    <row r="121" spans="1:20" ht="70" x14ac:dyDescent="0.2">
      <c r="A121" s="11" t="s">
        <v>29</v>
      </c>
      <c r="B121" s="11" t="s">
        <v>778</v>
      </c>
      <c r="C121" s="11" t="s">
        <v>660</v>
      </c>
      <c r="D121" s="11"/>
      <c r="E121" s="11" t="s">
        <v>639</v>
      </c>
      <c r="F121" s="11" t="s">
        <v>660</v>
      </c>
      <c r="G121" s="11" t="s">
        <v>152</v>
      </c>
      <c r="H121" s="11" t="s">
        <v>661</v>
      </c>
      <c r="I121" s="11">
        <v>3.5</v>
      </c>
      <c r="J121" s="11"/>
      <c r="K121" s="11">
        <v>1.2</v>
      </c>
      <c r="L121" s="12" t="s">
        <v>779</v>
      </c>
      <c r="M121" s="12" t="s">
        <v>780</v>
      </c>
      <c r="N12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21" s="11"/>
      <c r="P121" s="11"/>
      <c r="Q121" s="11" t="s">
        <v>781</v>
      </c>
      <c r="R121" s="11"/>
      <c r="S121" s="11" t="s">
        <v>782</v>
      </c>
      <c r="T121" s="11" t="s">
        <v>783</v>
      </c>
    </row>
    <row r="122" spans="1:20" ht="42" x14ac:dyDescent="0.2">
      <c r="A122" s="11" t="s">
        <v>18</v>
      </c>
      <c r="B122" s="11" t="s">
        <v>80</v>
      </c>
      <c r="C122" s="11" t="s">
        <v>784</v>
      </c>
      <c r="D122" s="11"/>
      <c r="E122" s="11" t="s">
        <v>639</v>
      </c>
      <c r="F122" s="11" t="s">
        <v>89</v>
      </c>
      <c r="G122" s="11" t="s">
        <v>83</v>
      </c>
      <c r="H122" s="11" t="s">
        <v>785</v>
      </c>
      <c r="I122" s="11">
        <v>4</v>
      </c>
      <c r="J122" s="11">
        <v>58</v>
      </c>
      <c r="K122" s="11"/>
      <c r="L122" s="12"/>
      <c r="M122" s="12" t="s">
        <v>786</v>
      </c>
      <c r="N12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A12</v>
      </c>
      <c r="O122" s="11">
        <v>1</v>
      </c>
      <c r="P122" s="11"/>
      <c r="Q122" s="11" t="s">
        <v>787</v>
      </c>
      <c r="R122" s="11" t="s">
        <v>788</v>
      </c>
      <c r="S122" s="11" t="s">
        <v>789</v>
      </c>
      <c r="T122" s="11" t="s">
        <v>790</v>
      </c>
    </row>
    <row r="123" spans="1:20" ht="70" x14ac:dyDescent="0.2">
      <c r="A123" s="11" t="s">
        <v>29</v>
      </c>
      <c r="B123" s="11" t="s">
        <v>791</v>
      </c>
      <c r="C123" s="11" t="s">
        <v>638</v>
      </c>
      <c r="D123" s="11"/>
      <c r="E123" s="11" t="s">
        <v>639</v>
      </c>
      <c r="F123" s="11" t="s">
        <v>640</v>
      </c>
      <c r="G123" s="11" t="s">
        <v>23</v>
      </c>
      <c r="H123" s="11" t="s">
        <v>641</v>
      </c>
      <c r="I123" s="11">
        <v>3.7</v>
      </c>
      <c r="J123" s="11"/>
      <c r="K123" s="11"/>
      <c r="L123" s="12"/>
      <c r="M123" s="12" t="s">
        <v>792</v>
      </c>
      <c r="N12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3" s="11"/>
      <c r="P123" s="11"/>
      <c r="Q123" s="11" t="s">
        <v>793</v>
      </c>
      <c r="R123" s="11"/>
      <c r="S123" s="11" t="s">
        <v>794</v>
      </c>
      <c r="T123" s="11" t="s">
        <v>795</v>
      </c>
    </row>
    <row r="124" spans="1:20" ht="84" x14ac:dyDescent="0.2">
      <c r="A124" s="11" t="s">
        <v>18</v>
      </c>
      <c r="B124" s="11"/>
      <c r="C124" s="11" t="s">
        <v>796</v>
      </c>
      <c r="D124" s="11">
        <v>2015</v>
      </c>
      <c r="E124" s="11" t="s">
        <v>639</v>
      </c>
      <c r="F124" s="11" t="s">
        <v>797</v>
      </c>
      <c r="G124" s="11" t="s">
        <v>23</v>
      </c>
      <c r="H124" s="11" t="s">
        <v>641</v>
      </c>
      <c r="I124" s="11">
        <v>3.9</v>
      </c>
      <c r="J124" s="11">
        <v>55</v>
      </c>
      <c r="K124" s="11"/>
      <c r="L124" s="12"/>
      <c r="M124" s="12" t="s">
        <v>798</v>
      </c>
      <c r="N12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A10</v>
      </c>
      <c r="O124" s="11">
        <v>1</v>
      </c>
      <c r="P124" s="11"/>
      <c r="Q124" s="11" t="s">
        <v>799</v>
      </c>
      <c r="R124" s="11"/>
      <c r="S124" s="11" t="s">
        <v>800</v>
      </c>
      <c r="T124" s="11" t="s">
        <v>801</v>
      </c>
    </row>
    <row r="125" spans="1:20" x14ac:dyDescent="0.2">
      <c r="A125" s="11" t="s">
        <v>29</v>
      </c>
      <c r="B125" s="11"/>
      <c r="C125" s="11" t="s">
        <v>802</v>
      </c>
      <c r="D125" s="11">
        <v>2018</v>
      </c>
      <c r="E125" s="11" t="s">
        <v>803</v>
      </c>
      <c r="F125" s="11" t="s">
        <v>804</v>
      </c>
      <c r="G125" s="11" t="s">
        <v>23</v>
      </c>
      <c r="H125" s="11"/>
      <c r="I125" s="11">
        <v>4.5999999999999996</v>
      </c>
      <c r="J125" s="11"/>
      <c r="K125" s="11"/>
      <c r="L125" s="12"/>
      <c r="M125" s="12"/>
      <c r="N12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5" s="11"/>
      <c r="P125" s="11"/>
      <c r="Q125" s="11" t="s">
        <v>805</v>
      </c>
      <c r="R125" s="11"/>
      <c r="S125" s="11" t="s">
        <v>806</v>
      </c>
      <c r="T125" s="11" t="s">
        <v>807</v>
      </c>
    </row>
    <row r="126" spans="1:20" x14ac:dyDescent="0.2">
      <c r="A126" s="11" t="s">
        <v>37</v>
      </c>
      <c r="B126" s="11"/>
      <c r="C126" s="11" t="s">
        <v>802</v>
      </c>
      <c r="D126" s="11">
        <v>2018</v>
      </c>
      <c r="E126" s="11" t="s">
        <v>803</v>
      </c>
      <c r="F126" s="11" t="s">
        <v>804</v>
      </c>
      <c r="G126" s="11" t="s">
        <v>23</v>
      </c>
      <c r="H126" s="11"/>
      <c r="I126" s="11">
        <v>4.5999999999999996</v>
      </c>
      <c r="J126" s="11"/>
      <c r="K126" s="11"/>
      <c r="L126" s="12"/>
      <c r="M126" s="12"/>
      <c r="N12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6" s="11"/>
      <c r="P126" s="11" t="s">
        <v>808</v>
      </c>
      <c r="Q126" s="11" t="s">
        <v>805</v>
      </c>
      <c r="R126" s="11"/>
      <c r="S126" s="11" t="s">
        <v>806</v>
      </c>
      <c r="T126" s="11" t="s">
        <v>807</v>
      </c>
    </row>
    <row r="127" spans="1:20" ht="98" x14ac:dyDescent="0.2">
      <c r="A127" s="11" t="s">
        <v>29</v>
      </c>
      <c r="B127" s="11" t="s">
        <v>19</v>
      </c>
      <c r="C127" s="11" t="s">
        <v>809</v>
      </c>
      <c r="D127" s="11">
        <v>2021</v>
      </c>
      <c r="E127" s="11" t="s">
        <v>810</v>
      </c>
      <c r="F127" s="11" t="s">
        <v>22</v>
      </c>
      <c r="G127" s="11" t="s">
        <v>23</v>
      </c>
      <c r="H127" s="11" t="s">
        <v>811</v>
      </c>
      <c r="I127" s="11">
        <v>3.9</v>
      </c>
      <c r="J127" s="11"/>
      <c r="K127" s="11"/>
      <c r="L127" s="12"/>
      <c r="M127" s="12" t="s">
        <v>812</v>
      </c>
      <c r="N12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</v>
      </c>
      <c r="O127" s="11"/>
      <c r="P127" s="11"/>
      <c r="Q127" s="11" t="s">
        <v>813</v>
      </c>
      <c r="R127" s="11"/>
      <c r="S127" s="11" t="s">
        <v>814</v>
      </c>
      <c r="T127" s="11" t="s">
        <v>815</v>
      </c>
    </row>
    <row r="128" spans="1:20" ht="70" x14ac:dyDescent="0.2">
      <c r="A128" s="11" t="s">
        <v>18</v>
      </c>
      <c r="B128" s="11" t="s">
        <v>159</v>
      </c>
      <c r="C128" s="11" t="s">
        <v>816</v>
      </c>
      <c r="D128" s="11">
        <v>2021</v>
      </c>
      <c r="E128" s="11" t="s">
        <v>810</v>
      </c>
      <c r="F128" s="11" t="s">
        <v>161</v>
      </c>
      <c r="G128" s="11" t="s">
        <v>162</v>
      </c>
      <c r="H128" s="11" t="s">
        <v>817</v>
      </c>
      <c r="I128" s="11">
        <v>3.7</v>
      </c>
      <c r="J128" s="11">
        <v>665</v>
      </c>
      <c r="K128" s="11"/>
      <c r="L128" s="12"/>
      <c r="M128" s="12" t="s">
        <v>818</v>
      </c>
      <c r="N12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C7 - D7</v>
      </c>
      <c r="O128" s="11">
        <v>2</v>
      </c>
      <c r="P128" s="11"/>
      <c r="Q128" s="11" t="s">
        <v>819</v>
      </c>
      <c r="R128" s="11"/>
      <c r="S128" s="11" t="s">
        <v>820</v>
      </c>
      <c r="T128" s="11" t="s">
        <v>821</v>
      </c>
    </row>
    <row r="129" spans="1:20" ht="42" x14ac:dyDescent="0.2">
      <c r="A129" s="11" t="s">
        <v>18</v>
      </c>
      <c r="B129" s="11" t="s">
        <v>179</v>
      </c>
      <c r="C129" s="11" t="s">
        <v>822</v>
      </c>
      <c r="D129" s="11">
        <v>2023</v>
      </c>
      <c r="E129" s="11" t="s">
        <v>810</v>
      </c>
      <c r="F129" s="11" t="s">
        <v>823</v>
      </c>
      <c r="G129" s="11" t="s">
        <v>182</v>
      </c>
      <c r="H129" s="11" t="s">
        <v>824</v>
      </c>
      <c r="I129" s="11">
        <v>3.8</v>
      </c>
      <c r="J129" s="11">
        <v>2757</v>
      </c>
      <c r="K129" s="11"/>
      <c r="L129" s="12"/>
      <c r="M129" s="12" t="s">
        <v>825</v>
      </c>
      <c r="N12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F4-G4</v>
      </c>
      <c r="O129" s="11">
        <v>2</v>
      </c>
      <c r="P129" s="11"/>
      <c r="Q129" s="11" t="s">
        <v>826</v>
      </c>
      <c r="R129" s="11"/>
      <c r="S129" s="11" t="s">
        <v>827</v>
      </c>
      <c r="T129" s="11" t="s">
        <v>828</v>
      </c>
    </row>
    <row r="130" spans="1:20" x14ac:dyDescent="0.2">
      <c r="A130" s="11" t="s">
        <v>29</v>
      </c>
      <c r="B130" s="11" t="s">
        <v>829</v>
      </c>
      <c r="C130" s="11" t="s">
        <v>830</v>
      </c>
      <c r="D130" s="11">
        <v>2021</v>
      </c>
      <c r="E130" s="11" t="s">
        <v>810</v>
      </c>
      <c r="F130" s="11" t="s">
        <v>831</v>
      </c>
      <c r="G130" s="11" t="s">
        <v>23</v>
      </c>
      <c r="H130" s="11" t="s">
        <v>832</v>
      </c>
      <c r="I130" s="11">
        <v>4.2</v>
      </c>
      <c r="J130" s="11"/>
      <c r="K130" s="11"/>
      <c r="L130" s="12"/>
      <c r="M130" s="12" t="s">
        <v>50</v>
      </c>
      <c r="N13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0" s="11"/>
      <c r="P130" s="11"/>
      <c r="Q130" s="11" t="s">
        <v>833</v>
      </c>
      <c r="R130" s="11"/>
      <c r="S130" s="11" t="s">
        <v>834</v>
      </c>
      <c r="T130" s="11" t="s">
        <v>835</v>
      </c>
    </row>
    <row r="131" spans="1:20" x14ac:dyDescent="0.2">
      <c r="A131" s="11" t="s">
        <v>29</v>
      </c>
      <c r="B131" s="11" t="s">
        <v>836</v>
      </c>
      <c r="C131" s="11" t="s">
        <v>837</v>
      </c>
      <c r="D131" s="11">
        <v>2020</v>
      </c>
      <c r="E131" s="11" t="s">
        <v>810</v>
      </c>
      <c r="F131" s="11" t="s">
        <v>838</v>
      </c>
      <c r="G131" s="11" t="s">
        <v>23</v>
      </c>
      <c r="H131" s="11" t="s">
        <v>811</v>
      </c>
      <c r="I131" s="11">
        <v>3.9</v>
      </c>
      <c r="J131" s="11"/>
      <c r="K131" s="11"/>
      <c r="L131" s="12"/>
      <c r="M131" s="12"/>
      <c r="N13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1" s="11"/>
      <c r="P131" s="11"/>
      <c r="Q131" s="11" t="s">
        <v>839</v>
      </c>
      <c r="R131" s="11"/>
      <c r="S131" s="11" t="s">
        <v>840</v>
      </c>
      <c r="T131" s="11" t="s">
        <v>841</v>
      </c>
    </row>
    <row r="132" spans="1:20" ht="42" x14ac:dyDescent="0.2">
      <c r="A132" s="11" t="s">
        <v>29</v>
      </c>
      <c r="B132" s="11" t="s">
        <v>836</v>
      </c>
      <c r="C132" s="11" t="s">
        <v>842</v>
      </c>
      <c r="D132" s="11">
        <v>2020</v>
      </c>
      <c r="E132" s="11" t="s">
        <v>810</v>
      </c>
      <c r="F132" s="11" t="s">
        <v>843</v>
      </c>
      <c r="G132" s="11" t="s">
        <v>23</v>
      </c>
      <c r="H132" s="11" t="s">
        <v>811</v>
      </c>
      <c r="I132" s="11">
        <v>3.9</v>
      </c>
      <c r="J132" s="11"/>
      <c r="K132" s="11"/>
      <c r="L132" s="12"/>
      <c r="M132" s="12" t="s">
        <v>844</v>
      </c>
      <c r="N13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132" s="11"/>
      <c r="P132" s="11"/>
      <c r="Q132" s="11" t="s">
        <v>845</v>
      </c>
      <c r="R132" s="11"/>
      <c r="S132" s="11" t="s">
        <v>846</v>
      </c>
      <c r="T132" s="11" t="s">
        <v>847</v>
      </c>
    </row>
    <row r="133" spans="1:20" ht="56" x14ac:dyDescent="0.2">
      <c r="A133" s="11" t="s">
        <v>18</v>
      </c>
      <c r="B133" s="11" t="s">
        <v>836</v>
      </c>
      <c r="C133" s="11" t="s">
        <v>848</v>
      </c>
      <c r="D133" s="11">
        <v>2021</v>
      </c>
      <c r="E133" s="11" t="s">
        <v>810</v>
      </c>
      <c r="F133" s="11" t="s">
        <v>843</v>
      </c>
      <c r="G133" s="11" t="s">
        <v>23</v>
      </c>
      <c r="H133" s="11" t="s">
        <v>849</v>
      </c>
      <c r="I133" s="11">
        <v>4</v>
      </c>
      <c r="J133" s="11">
        <v>4860</v>
      </c>
      <c r="K133" s="11"/>
      <c r="L133" s="12"/>
      <c r="M133" s="12" t="s">
        <v>850</v>
      </c>
      <c r="N13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E4</v>
      </c>
      <c r="O133" s="11">
        <v>1</v>
      </c>
      <c r="P133" s="11"/>
      <c r="Q133" s="11" t="s">
        <v>851</v>
      </c>
      <c r="R133" s="11"/>
      <c r="S133" s="11" t="s">
        <v>852</v>
      </c>
      <c r="T133" s="11" t="s">
        <v>853</v>
      </c>
    </row>
    <row r="134" spans="1:20" ht="42" x14ac:dyDescent="0.2">
      <c r="A134" s="11" t="s">
        <v>29</v>
      </c>
      <c r="B134" s="11" t="s">
        <v>836</v>
      </c>
      <c r="C134" s="11" t="s">
        <v>848</v>
      </c>
      <c r="D134" s="11">
        <v>2013</v>
      </c>
      <c r="E134" s="11" t="s">
        <v>810</v>
      </c>
      <c r="F134" s="11" t="s">
        <v>843</v>
      </c>
      <c r="G134" s="11" t="s">
        <v>23</v>
      </c>
      <c r="H134" s="11" t="s">
        <v>849</v>
      </c>
      <c r="I134" s="11">
        <v>4</v>
      </c>
      <c r="J134" s="11"/>
      <c r="K134" s="11"/>
      <c r="L134" s="12"/>
      <c r="M134" s="12" t="s">
        <v>844</v>
      </c>
      <c r="N13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134" s="11"/>
      <c r="P134" s="11"/>
      <c r="Q134" s="11" t="s">
        <v>854</v>
      </c>
      <c r="R134" s="11"/>
      <c r="S134" s="11" t="s">
        <v>855</v>
      </c>
      <c r="T134" s="11" t="s">
        <v>856</v>
      </c>
    </row>
    <row r="135" spans="1:20" x14ac:dyDescent="0.2">
      <c r="A135" s="11" t="s">
        <v>29</v>
      </c>
      <c r="B135" s="11" t="s">
        <v>836</v>
      </c>
      <c r="C135" s="11" t="s">
        <v>848</v>
      </c>
      <c r="D135" s="11">
        <v>2020</v>
      </c>
      <c r="E135" s="11" t="s">
        <v>810</v>
      </c>
      <c r="F135" s="11" t="s">
        <v>843</v>
      </c>
      <c r="G135" s="11" t="s">
        <v>23</v>
      </c>
      <c r="H135" s="11" t="s">
        <v>849</v>
      </c>
      <c r="I135" s="11">
        <v>4</v>
      </c>
      <c r="J135" s="11"/>
      <c r="K135" s="11"/>
      <c r="L135" s="12"/>
      <c r="M135" s="12"/>
      <c r="N13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5" s="11"/>
      <c r="P135" s="11"/>
      <c r="Q135" s="11" t="s">
        <v>857</v>
      </c>
      <c r="R135" s="11"/>
      <c r="S135" s="11" t="s">
        <v>858</v>
      </c>
      <c r="T135" s="11" t="s">
        <v>859</v>
      </c>
    </row>
    <row r="136" spans="1:20" ht="84" x14ac:dyDescent="0.2">
      <c r="A136" s="11" t="s">
        <v>29</v>
      </c>
      <c r="B136" s="11" t="s">
        <v>228</v>
      </c>
      <c r="C136" s="11" t="s">
        <v>860</v>
      </c>
      <c r="D136" s="11">
        <v>2020</v>
      </c>
      <c r="E136" s="11" t="s">
        <v>810</v>
      </c>
      <c r="F136" s="11" t="s">
        <v>860</v>
      </c>
      <c r="G136" s="11" t="s">
        <v>23</v>
      </c>
      <c r="H136" s="11" t="s">
        <v>861</v>
      </c>
      <c r="I136" s="11">
        <v>3.8</v>
      </c>
      <c r="J136" s="11"/>
      <c r="K136" s="11"/>
      <c r="L136" s="12"/>
      <c r="M136" s="12" t="s">
        <v>862</v>
      </c>
      <c r="N13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</v>
      </c>
      <c r="O136" s="11"/>
      <c r="P136" s="11"/>
      <c r="Q136" s="11" t="s">
        <v>863</v>
      </c>
      <c r="R136" s="11"/>
      <c r="S136" s="11" t="s">
        <v>864</v>
      </c>
      <c r="T136" s="11" t="s">
        <v>865</v>
      </c>
    </row>
    <row r="137" spans="1:20" x14ac:dyDescent="0.2">
      <c r="A137" s="11" t="s">
        <v>29</v>
      </c>
      <c r="B137" s="11" t="s">
        <v>234</v>
      </c>
      <c r="C137" s="11" t="s">
        <v>866</v>
      </c>
      <c r="D137" s="11">
        <v>2021</v>
      </c>
      <c r="E137" s="11" t="s">
        <v>810</v>
      </c>
      <c r="F137" s="11" t="s">
        <v>683</v>
      </c>
      <c r="G137" s="11" t="s">
        <v>152</v>
      </c>
      <c r="H137" s="11" t="s">
        <v>867</v>
      </c>
      <c r="I137" s="11">
        <v>3.6</v>
      </c>
      <c r="J137" s="11"/>
      <c r="K137" s="11"/>
      <c r="L137" s="12"/>
      <c r="M137" s="12"/>
      <c r="N13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7" s="11"/>
      <c r="P137" s="11"/>
      <c r="Q137" s="11" t="s">
        <v>868</v>
      </c>
      <c r="R137" s="11"/>
      <c r="S137" s="11" t="s">
        <v>869</v>
      </c>
      <c r="T137" s="11" t="s">
        <v>870</v>
      </c>
    </row>
    <row r="138" spans="1:20" ht="28" x14ac:dyDescent="0.2">
      <c r="A138" s="11" t="s">
        <v>18</v>
      </c>
      <c r="B138" s="11" t="s">
        <v>871</v>
      </c>
      <c r="C138" s="11" t="s">
        <v>872</v>
      </c>
      <c r="D138" s="11">
        <v>2014</v>
      </c>
      <c r="E138" s="11" t="s">
        <v>810</v>
      </c>
      <c r="F138" s="11" t="s">
        <v>251</v>
      </c>
      <c r="G138" s="11" t="s">
        <v>23</v>
      </c>
      <c r="H138" s="11" t="s">
        <v>873</v>
      </c>
      <c r="I138" s="11">
        <v>3.2</v>
      </c>
      <c r="J138" s="11">
        <v>46</v>
      </c>
      <c r="K138" s="11"/>
      <c r="L138" s="12"/>
      <c r="M138" s="12" t="s">
        <v>874</v>
      </c>
      <c r="N13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8" s="11">
        <v>1</v>
      </c>
      <c r="P138" s="11"/>
      <c r="Q138" s="11" t="s">
        <v>875</v>
      </c>
      <c r="R138" s="11"/>
      <c r="S138" s="11" t="s">
        <v>876</v>
      </c>
      <c r="T138" s="11" t="s">
        <v>877</v>
      </c>
    </row>
    <row r="139" spans="1:20" ht="70" x14ac:dyDescent="0.2">
      <c r="A139" s="11" t="s">
        <v>18</v>
      </c>
      <c r="B139" s="11" t="s">
        <v>242</v>
      </c>
      <c r="C139" s="11" t="s">
        <v>878</v>
      </c>
      <c r="D139" s="11">
        <v>2024</v>
      </c>
      <c r="E139" s="11" t="s">
        <v>810</v>
      </c>
      <c r="F139" s="11" t="s">
        <v>878</v>
      </c>
      <c r="G139" s="11" t="s">
        <v>152</v>
      </c>
      <c r="H139" s="11" t="s">
        <v>867</v>
      </c>
      <c r="I139" s="11">
        <v>3.5</v>
      </c>
      <c r="J139" s="11">
        <v>903</v>
      </c>
      <c r="K139" s="11"/>
      <c r="L139" s="12"/>
      <c r="M139" s="12" t="s">
        <v>879</v>
      </c>
      <c r="N13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H2</v>
      </c>
      <c r="O139" s="11">
        <v>1</v>
      </c>
      <c r="P139" s="11"/>
      <c r="Q139" s="11" t="s">
        <v>880</v>
      </c>
      <c r="R139" s="11"/>
      <c r="S139" s="11" t="s">
        <v>881</v>
      </c>
      <c r="T139" s="11" t="s">
        <v>882</v>
      </c>
    </row>
    <row r="140" spans="1:20" ht="84" x14ac:dyDescent="0.2">
      <c r="A140" s="11" t="s">
        <v>18</v>
      </c>
      <c r="B140" s="11" t="s">
        <v>883</v>
      </c>
      <c r="C140" s="11" t="s">
        <v>849</v>
      </c>
      <c r="D140" s="11">
        <v>2019</v>
      </c>
      <c r="E140" s="11" t="s">
        <v>810</v>
      </c>
      <c r="F140" s="11" t="s">
        <v>22</v>
      </c>
      <c r="G140" s="11" t="s">
        <v>23</v>
      </c>
      <c r="H140" s="11" t="s">
        <v>849</v>
      </c>
      <c r="I140" s="11">
        <v>3.8</v>
      </c>
      <c r="J140" s="11">
        <v>518</v>
      </c>
      <c r="K140" s="11"/>
      <c r="L140" s="12"/>
      <c r="M140" s="12" t="s">
        <v>884</v>
      </c>
      <c r="N14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A5 - B5</v>
      </c>
      <c r="O140" s="11">
        <v>2</v>
      </c>
      <c r="P140" s="11"/>
      <c r="Q140" s="11" t="s">
        <v>885</v>
      </c>
      <c r="R140" s="11"/>
      <c r="S140" s="11" t="s">
        <v>886</v>
      </c>
      <c r="T140" s="11" t="s">
        <v>887</v>
      </c>
    </row>
    <row r="141" spans="1:20" ht="84" x14ac:dyDescent="0.2">
      <c r="A141" s="11" t="s">
        <v>29</v>
      </c>
      <c r="B141" s="11" t="s">
        <v>54</v>
      </c>
      <c r="C141" s="11" t="s">
        <v>888</v>
      </c>
      <c r="D141" s="11">
        <v>2018</v>
      </c>
      <c r="E141" s="11" t="s">
        <v>810</v>
      </c>
      <c r="F141" s="11" t="s">
        <v>889</v>
      </c>
      <c r="G141" s="11" t="s">
        <v>23</v>
      </c>
      <c r="H141" s="11" t="s">
        <v>849</v>
      </c>
      <c r="I141" s="11">
        <v>4.0999999999999996</v>
      </c>
      <c r="J141" s="11"/>
      <c r="K141" s="11"/>
      <c r="L141" s="12"/>
      <c r="M141" s="12" t="s">
        <v>890</v>
      </c>
      <c r="N14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41" s="11"/>
      <c r="P141" s="11"/>
      <c r="Q141" s="11" t="s">
        <v>891</v>
      </c>
      <c r="R141" s="11"/>
      <c r="S141" s="11" t="s">
        <v>892</v>
      </c>
      <c r="T141" s="11" t="s">
        <v>893</v>
      </c>
    </row>
    <row r="142" spans="1:20" ht="84" x14ac:dyDescent="0.2">
      <c r="A142" s="11" t="s">
        <v>29</v>
      </c>
      <c r="B142" s="11" t="s">
        <v>894</v>
      </c>
      <c r="C142" s="11" t="s">
        <v>895</v>
      </c>
      <c r="D142" s="11">
        <v>2015</v>
      </c>
      <c r="E142" s="11" t="s">
        <v>810</v>
      </c>
      <c r="F142" s="11" t="s">
        <v>22</v>
      </c>
      <c r="G142" s="11" t="s">
        <v>23</v>
      </c>
      <c r="H142" s="11" t="s">
        <v>896</v>
      </c>
      <c r="I142" s="11">
        <v>3.7</v>
      </c>
      <c r="J142" s="11"/>
      <c r="K142" s="11">
        <v>3.8</v>
      </c>
      <c r="L142" s="12" t="s">
        <v>897</v>
      </c>
      <c r="M142" s="12" t="s">
        <v>898</v>
      </c>
      <c r="N14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42" s="11"/>
      <c r="P142" s="11"/>
      <c r="Q142" s="11" t="s">
        <v>899</v>
      </c>
      <c r="R142" s="11"/>
      <c r="S142" s="11" t="s">
        <v>900</v>
      </c>
      <c r="T142" s="11" t="s">
        <v>901</v>
      </c>
    </row>
    <row r="143" spans="1:20" ht="56" x14ac:dyDescent="0.2">
      <c r="A143" s="11" t="s">
        <v>18</v>
      </c>
      <c r="B143" s="11" t="s">
        <v>902</v>
      </c>
      <c r="C143" s="11" t="s">
        <v>903</v>
      </c>
      <c r="D143" s="11">
        <v>2022</v>
      </c>
      <c r="E143" s="11" t="s">
        <v>810</v>
      </c>
      <c r="F143" s="11" t="s">
        <v>904</v>
      </c>
      <c r="G143" s="11" t="s">
        <v>23</v>
      </c>
      <c r="H143" s="11" t="s">
        <v>832</v>
      </c>
      <c r="I143" s="11">
        <v>3.9</v>
      </c>
      <c r="J143" s="11">
        <v>885</v>
      </c>
      <c r="K143" s="11"/>
      <c r="L143" s="12"/>
      <c r="M143" s="12" t="s">
        <v>905</v>
      </c>
      <c r="N14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F6, G6</v>
      </c>
      <c r="O143" s="11">
        <v>2</v>
      </c>
      <c r="P143" s="11"/>
      <c r="Q143" s="11" t="s">
        <v>906</v>
      </c>
      <c r="R143" s="11"/>
      <c r="S143" s="11" t="s">
        <v>907</v>
      </c>
      <c r="T143" s="11" t="s">
        <v>908</v>
      </c>
    </row>
    <row r="144" spans="1:20" ht="98" x14ac:dyDescent="0.2">
      <c r="A144" s="11" t="s">
        <v>29</v>
      </c>
      <c r="B144" s="11" t="s">
        <v>60</v>
      </c>
      <c r="C144" s="11" t="s">
        <v>909</v>
      </c>
      <c r="D144" s="11">
        <v>2020</v>
      </c>
      <c r="E144" s="11" t="s">
        <v>810</v>
      </c>
      <c r="F144" s="11" t="s">
        <v>22</v>
      </c>
      <c r="G144" s="11" t="s">
        <v>23</v>
      </c>
      <c r="H144" s="11" t="s">
        <v>896</v>
      </c>
      <c r="I144" s="11">
        <v>3.8</v>
      </c>
      <c r="J144" s="11"/>
      <c r="K144" s="11"/>
      <c r="L144" s="12"/>
      <c r="M144" s="12" t="s">
        <v>910</v>
      </c>
      <c r="N14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</v>
      </c>
      <c r="O144" s="11"/>
      <c r="P144" s="11"/>
      <c r="Q144" s="11" t="s">
        <v>911</v>
      </c>
      <c r="R144" s="11"/>
      <c r="S144" s="11" t="s">
        <v>912</v>
      </c>
      <c r="T144" s="11" t="s">
        <v>913</v>
      </c>
    </row>
    <row r="145" spans="1:20" ht="98" x14ac:dyDescent="0.2">
      <c r="A145" s="11" t="s">
        <v>18</v>
      </c>
      <c r="B145" s="11" t="s">
        <v>60</v>
      </c>
      <c r="C145" s="11" t="s">
        <v>914</v>
      </c>
      <c r="D145" s="11">
        <v>2021</v>
      </c>
      <c r="E145" s="11" t="s">
        <v>810</v>
      </c>
      <c r="F145" s="11" t="s">
        <v>22</v>
      </c>
      <c r="G145" s="11" t="s">
        <v>23</v>
      </c>
      <c r="H145" s="11" t="s">
        <v>849</v>
      </c>
      <c r="I145" s="11">
        <v>3.9</v>
      </c>
      <c r="J145" s="11">
        <v>79</v>
      </c>
      <c r="K145" s="11"/>
      <c r="L145" s="12"/>
      <c r="M145" s="12" t="s">
        <v>915</v>
      </c>
      <c r="N14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F9 - G9 - H9 - I9 - J9</v>
      </c>
      <c r="O145" s="11">
        <v>5</v>
      </c>
      <c r="P145" s="11"/>
      <c r="Q145" s="11" t="s">
        <v>916</v>
      </c>
      <c r="R145" s="11"/>
      <c r="S145" s="11" t="s">
        <v>917</v>
      </c>
      <c r="T145" s="11" t="s">
        <v>918</v>
      </c>
    </row>
    <row r="146" spans="1:20" ht="42" x14ac:dyDescent="0.2">
      <c r="A146" s="11" t="s">
        <v>18</v>
      </c>
      <c r="B146" s="11" t="s">
        <v>919</v>
      </c>
      <c r="C146" s="11" t="s">
        <v>920</v>
      </c>
      <c r="D146" s="11">
        <v>2022</v>
      </c>
      <c r="E146" s="11" t="s">
        <v>810</v>
      </c>
      <c r="F146" s="11" t="s">
        <v>89</v>
      </c>
      <c r="G146" s="11" t="s">
        <v>83</v>
      </c>
      <c r="H146" s="11" t="s">
        <v>921</v>
      </c>
      <c r="I146" s="11">
        <v>3.8</v>
      </c>
      <c r="J146" s="11">
        <v>62</v>
      </c>
      <c r="K146" s="11"/>
      <c r="L146" s="12"/>
      <c r="M146" s="12" t="s">
        <v>922</v>
      </c>
      <c r="N14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A8, B8</v>
      </c>
      <c r="O146" s="11">
        <v>2</v>
      </c>
      <c r="P146" s="11"/>
      <c r="Q146" s="11" t="s">
        <v>923</v>
      </c>
      <c r="R146" s="11"/>
      <c r="S146" s="11" t="s">
        <v>924</v>
      </c>
      <c r="T146" s="11" t="s">
        <v>925</v>
      </c>
    </row>
    <row r="147" spans="1:20" ht="84" x14ac:dyDescent="0.2">
      <c r="A147" s="11" t="s">
        <v>29</v>
      </c>
      <c r="B147" s="11" t="s">
        <v>926</v>
      </c>
      <c r="C147" s="11" t="s">
        <v>927</v>
      </c>
      <c r="D147" s="11">
        <v>2022</v>
      </c>
      <c r="E147" s="11" t="s">
        <v>810</v>
      </c>
      <c r="F147" s="11" t="s">
        <v>928</v>
      </c>
      <c r="G147" s="11" t="s">
        <v>162</v>
      </c>
      <c r="H147" s="11" t="s">
        <v>929</v>
      </c>
      <c r="I147" s="11">
        <v>3.9</v>
      </c>
      <c r="J147" s="11"/>
      <c r="K147" s="11"/>
      <c r="L147" s="12"/>
      <c r="M147" s="12" t="s">
        <v>930</v>
      </c>
      <c r="N14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47" s="11"/>
      <c r="P147" s="11"/>
      <c r="Q147" s="11" t="s">
        <v>931</v>
      </c>
      <c r="R147" s="11"/>
      <c r="S147" s="11" t="s">
        <v>932</v>
      </c>
      <c r="T147" s="11" t="s">
        <v>933</v>
      </c>
    </row>
    <row r="148" spans="1:20" ht="42" x14ac:dyDescent="0.2">
      <c r="A148" s="11" t="s">
        <v>18</v>
      </c>
      <c r="B148" s="11" t="s">
        <v>926</v>
      </c>
      <c r="C148" s="11" t="s">
        <v>934</v>
      </c>
      <c r="D148" s="11">
        <v>2021</v>
      </c>
      <c r="E148" s="11" t="s">
        <v>810</v>
      </c>
      <c r="F148" s="11" t="s">
        <v>935</v>
      </c>
      <c r="G148" s="11" t="s">
        <v>162</v>
      </c>
      <c r="H148" s="11" t="s">
        <v>936</v>
      </c>
      <c r="I148" s="11">
        <v>4</v>
      </c>
      <c r="J148" s="11">
        <v>2755</v>
      </c>
      <c r="K148" s="11"/>
      <c r="L148" s="12"/>
      <c r="M148" s="12" t="s">
        <v>937</v>
      </c>
      <c r="N14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F7-G7</v>
      </c>
      <c r="O148" s="11">
        <v>2</v>
      </c>
      <c r="P148" s="11"/>
      <c r="Q148" s="11" t="s">
        <v>938</v>
      </c>
      <c r="R148" s="11"/>
      <c r="S148" s="11" t="s">
        <v>939</v>
      </c>
      <c r="T148" s="11" t="s">
        <v>940</v>
      </c>
    </row>
    <row r="149" spans="1:20" ht="42" x14ac:dyDescent="0.2">
      <c r="A149" s="11" t="s">
        <v>18</v>
      </c>
      <c r="B149" s="11" t="s">
        <v>926</v>
      </c>
      <c r="C149" s="11" t="s">
        <v>941</v>
      </c>
      <c r="D149" s="11">
        <v>2023</v>
      </c>
      <c r="E149" s="11" t="s">
        <v>810</v>
      </c>
      <c r="F149" s="11" t="s">
        <v>935</v>
      </c>
      <c r="G149" s="11" t="s">
        <v>162</v>
      </c>
      <c r="H149" s="11" t="s">
        <v>936</v>
      </c>
      <c r="I149" s="11">
        <v>4.2</v>
      </c>
      <c r="J149" s="11">
        <v>187</v>
      </c>
      <c r="K149" s="11"/>
      <c r="L149" s="12"/>
      <c r="M149" s="12" t="s">
        <v>942</v>
      </c>
      <c r="N14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C2-C4</v>
      </c>
      <c r="O149" s="11">
        <v>2</v>
      </c>
      <c r="P149" s="11"/>
      <c r="Q149" s="11" t="s">
        <v>943</v>
      </c>
      <c r="R149" s="11"/>
      <c r="S149" s="11" t="s">
        <v>944</v>
      </c>
      <c r="T149" s="11" t="s">
        <v>945</v>
      </c>
    </row>
    <row r="150" spans="1:20" ht="84" x14ac:dyDescent="0.2">
      <c r="A150" s="11" t="s">
        <v>18</v>
      </c>
      <c r="B150" s="11" t="s">
        <v>946</v>
      </c>
      <c r="C150" s="11" t="s">
        <v>947</v>
      </c>
      <c r="D150" s="11">
        <v>2024</v>
      </c>
      <c r="E150" s="11" t="s">
        <v>810</v>
      </c>
      <c r="F150" s="11" t="s">
        <v>948</v>
      </c>
      <c r="G150" s="11" t="s">
        <v>468</v>
      </c>
      <c r="H150" s="11"/>
      <c r="I150" s="11">
        <v>4</v>
      </c>
      <c r="J150" s="11">
        <v>959</v>
      </c>
      <c r="K150" s="11"/>
      <c r="L150" s="12"/>
      <c r="M150" s="12" t="s">
        <v>949</v>
      </c>
      <c r="N15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1, D6, E6</v>
      </c>
      <c r="O150" s="11">
        <v>3</v>
      </c>
      <c r="P150" s="11"/>
      <c r="Q150" s="11" t="s">
        <v>950</v>
      </c>
      <c r="R150" s="11"/>
      <c r="S150" s="11" t="s">
        <v>951</v>
      </c>
      <c r="T150" s="11" t="s">
        <v>952</v>
      </c>
    </row>
    <row r="151" spans="1:20" ht="70" x14ac:dyDescent="0.2">
      <c r="A151" s="11" t="s">
        <v>18</v>
      </c>
      <c r="B151" s="11" t="s">
        <v>946</v>
      </c>
      <c r="C151" s="11" t="s">
        <v>953</v>
      </c>
      <c r="D151" s="11">
        <v>2024</v>
      </c>
      <c r="E151" s="11" t="s">
        <v>810</v>
      </c>
      <c r="F151" s="11" t="s">
        <v>954</v>
      </c>
      <c r="G151" s="11" t="s">
        <v>468</v>
      </c>
      <c r="H151" s="11"/>
      <c r="I151" s="11">
        <v>4</v>
      </c>
      <c r="J151" s="11">
        <v>86</v>
      </c>
      <c r="K151" s="11"/>
      <c r="L151" s="12"/>
      <c r="M151" s="12" t="s">
        <v>955</v>
      </c>
      <c r="N15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1" s="11">
        <v>1</v>
      </c>
      <c r="P151" s="11"/>
      <c r="Q151" s="11" t="s">
        <v>956</v>
      </c>
      <c r="R151" s="11"/>
      <c r="S151" s="11" t="s">
        <v>957</v>
      </c>
      <c r="T151" s="11" t="s">
        <v>958</v>
      </c>
    </row>
    <row r="152" spans="1:20" x14ac:dyDescent="0.2">
      <c r="A152" s="11" t="s">
        <v>29</v>
      </c>
      <c r="B152" s="11" t="s">
        <v>959</v>
      </c>
      <c r="C152" s="11" t="s">
        <v>960</v>
      </c>
      <c r="D152" s="11">
        <v>2019</v>
      </c>
      <c r="E152" s="11" t="s">
        <v>810</v>
      </c>
      <c r="F152" s="11" t="s">
        <v>961</v>
      </c>
      <c r="G152" s="11" t="s">
        <v>152</v>
      </c>
      <c r="H152" s="11" t="s">
        <v>962</v>
      </c>
      <c r="I152" s="11">
        <v>3.8</v>
      </c>
      <c r="J152" s="11"/>
      <c r="K152" s="11">
        <v>3.7</v>
      </c>
      <c r="L152" s="12" t="s">
        <v>963</v>
      </c>
      <c r="M152" s="12" t="s">
        <v>964</v>
      </c>
      <c r="N15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2" s="11"/>
      <c r="P152" s="11"/>
      <c r="Q152" s="11" t="s">
        <v>965</v>
      </c>
      <c r="R152" s="11"/>
      <c r="S152" s="11" t="s">
        <v>966</v>
      </c>
      <c r="T152" s="11" t="s">
        <v>967</v>
      </c>
    </row>
    <row r="153" spans="1:20" x14ac:dyDescent="0.2">
      <c r="A153" s="11" t="s">
        <v>29</v>
      </c>
      <c r="B153" s="11" t="s">
        <v>959</v>
      </c>
      <c r="C153" s="11" t="s">
        <v>960</v>
      </c>
      <c r="D153" s="11">
        <v>2019</v>
      </c>
      <c r="E153" s="11" t="s">
        <v>810</v>
      </c>
      <c r="F153" s="11" t="s">
        <v>961</v>
      </c>
      <c r="G153" s="11" t="s">
        <v>152</v>
      </c>
      <c r="H153" s="11" t="s">
        <v>962</v>
      </c>
      <c r="I153" s="11">
        <v>3.8</v>
      </c>
      <c r="J153" s="11"/>
      <c r="K153" s="11"/>
      <c r="L153" s="12"/>
      <c r="M153" s="12"/>
      <c r="N15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3" s="11"/>
      <c r="P153" s="11"/>
      <c r="Q153" s="11" t="s">
        <v>968</v>
      </c>
      <c r="R153" s="11"/>
      <c r="S153" s="11" t="s">
        <v>966</v>
      </c>
      <c r="T153" s="11" t="s">
        <v>969</v>
      </c>
    </row>
    <row r="154" spans="1:20" ht="98" x14ac:dyDescent="0.2">
      <c r="A154" s="11" t="s">
        <v>18</v>
      </c>
      <c r="B154" s="11" t="s">
        <v>970</v>
      </c>
      <c r="C154" s="11" t="s">
        <v>971</v>
      </c>
      <c r="D154" s="11">
        <v>2021</v>
      </c>
      <c r="E154" s="11" t="s">
        <v>810</v>
      </c>
      <c r="F154" s="11" t="s">
        <v>972</v>
      </c>
      <c r="G154" s="11" t="s">
        <v>152</v>
      </c>
      <c r="H154" s="11" t="s">
        <v>973</v>
      </c>
      <c r="I154" s="11">
        <v>3.9</v>
      </c>
      <c r="J154" s="11">
        <v>236</v>
      </c>
      <c r="K154" s="11"/>
      <c r="L154" s="12"/>
      <c r="M154" s="12" t="s">
        <v>974</v>
      </c>
      <c r="N15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D2</v>
      </c>
      <c r="O154" s="11">
        <v>1</v>
      </c>
      <c r="P154" s="11"/>
      <c r="Q154" s="11" t="s">
        <v>975</v>
      </c>
      <c r="R154" s="11"/>
      <c r="S154" s="11" t="s">
        <v>976</v>
      </c>
      <c r="T154" s="11" t="s">
        <v>977</v>
      </c>
    </row>
    <row r="155" spans="1:20" ht="70" x14ac:dyDescent="0.2">
      <c r="A155" s="11" t="s">
        <v>18</v>
      </c>
      <c r="B155" s="11" t="s">
        <v>978</v>
      </c>
      <c r="C155" s="11" t="s">
        <v>979</v>
      </c>
      <c r="D155" s="11">
        <v>2021</v>
      </c>
      <c r="E155" s="11" t="s">
        <v>810</v>
      </c>
      <c r="F155" s="11" t="s">
        <v>980</v>
      </c>
      <c r="G155" s="11" t="s">
        <v>152</v>
      </c>
      <c r="H155" s="11" t="s">
        <v>867</v>
      </c>
      <c r="I155" s="11">
        <v>3.8</v>
      </c>
      <c r="J155" s="11">
        <v>481</v>
      </c>
      <c r="K155" s="11"/>
      <c r="L155" s="12"/>
      <c r="M155" s="12" t="s">
        <v>981</v>
      </c>
      <c r="N15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5" s="11">
        <v>1</v>
      </c>
      <c r="P155" s="11"/>
      <c r="Q155" s="11" t="s">
        <v>982</v>
      </c>
      <c r="R155" s="11"/>
      <c r="S155" s="11" t="s">
        <v>983</v>
      </c>
      <c r="T155" s="11" t="s">
        <v>984</v>
      </c>
    </row>
    <row r="156" spans="1:20" ht="56" x14ac:dyDescent="0.2">
      <c r="A156" s="11" t="s">
        <v>18</v>
      </c>
      <c r="B156" s="11" t="s">
        <v>985</v>
      </c>
      <c r="C156" s="11" t="s">
        <v>986</v>
      </c>
      <c r="D156" s="11">
        <v>2023</v>
      </c>
      <c r="E156" s="11" t="s">
        <v>810</v>
      </c>
      <c r="F156" s="11" t="s">
        <v>987</v>
      </c>
      <c r="G156" s="11" t="s">
        <v>988</v>
      </c>
      <c r="H156" s="11" t="s">
        <v>989</v>
      </c>
      <c r="I156" s="11">
        <v>3.6</v>
      </c>
      <c r="J156" s="11">
        <v>631</v>
      </c>
      <c r="K156" s="11"/>
      <c r="L156" s="12"/>
      <c r="M156" s="12" t="s">
        <v>990</v>
      </c>
      <c r="N15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6" s="11">
        <v>1</v>
      </c>
      <c r="P156" s="11"/>
      <c r="Q156" s="11" t="s">
        <v>991</v>
      </c>
      <c r="R156" s="11"/>
      <c r="S156" s="11" t="s">
        <v>992</v>
      </c>
      <c r="T156" s="11" t="s">
        <v>993</v>
      </c>
    </row>
    <row r="157" spans="1:20" ht="56" x14ac:dyDescent="0.2">
      <c r="A157" s="11" t="s">
        <v>18</v>
      </c>
      <c r="B157" s="11" t="s">
        <v>994</v>
      </c>
      <c r="C157" s="11" t="s">
        <v>995</v>
      </c>
      <c r="D157" s="11">
        <v>2018</v>
      </c>
      <c r="E157" s="11" t="s">
        <v>810</v>
      </c>
      <c r="F157" s="11" t="s">
        <v>996</v>
      </c>
      <c r="G157" s="11" t="s">
        <v>152</v>
      </c>
      <c r="H157" s="11" t="s">
        <v>962</v>
      </c>
      <c r="I157" s="11">
        <v>4.0999999999999996</v>
      </c>
      <c r="J157" s="11">
        <v>177</v>
      </c>
      <c r="K157" s="11"/>
      <c r="L157" s="12"/>
      <c r="M157" s="12" t="s">
        <v>997</v>
      </c>
      <c r="N15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2</v>
      </c>
      <c r="O157" s="11">
        <v>2</v>
      </c>
      <c r="P157" s="11"/>
      <c r="Q157" s="11" t="s">
        <v>998</v>
      </c>
      <c r="R157" s="11"/>
      <c r="S157" s="11" t="s">
        <v>999</v>
      </c>
      <c r="T157" s="11" t="s">
        <v>1000</v>
      </c>
    </row>
    <row r="158" spans="1:20" ht="70" x14ac:dyDescent="0.2">
      <c r="A158" s="11" t="s">
        <v>18</v>
      </c>
      <c r="B158" s="11" t="s">
        <v>1001</v>
      </c>
      <c r="C158" s="11" t="s">
        <v>1002</v>
      </c>
      <c r="D158" s="11">
        <v>2023</v>
      </c>
      <c r="E158" s="11" t="s">
        <v>810</v>
      </c>
      <c r="F158" s="11" t="s">
        <v>1003</v>
      </c>
      <c r="G158" s="11" t="s">
        <v>23</v>
      </c>
      <c r="H158" s="11" t="s">
        <v>1004</v>
      </c>
      <c r="I158" s="11">
        <v>4.0999999999999996</v>
      </c>
      <c r="J158" s="11">
        <v>247</v>
      </c>
      <c r="K158" s="11"/>
      <c r="L158" s="12"/>
      <c r="M158" s="12" t="s">
        <v>1005</v>
      </c>
      <c r="N15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H4</v>
      </c>
      <c r="O158" s="11">
        <v>1</v>
      </c>
      <c r="P158" s="11"/>
      <c r="Q158" s="11" t="s">
        <v>1006</v>
      </c>
      <c r="R158" s="11"/>
      <c r="S158" s="11" t="s">
        <v>1007</v>
      </c>
      <c r="T158" s="11" t="s">
        <v>1008</v>
      </c>
    </row>
    <row r="159" spans="1:20" ht="70" x14ac:dyDescent="0.2">
      <c r="A159" s="11" t="s">
        <v>29</v>
      </c>
      <c r="B159" s="11" t="s">
        <v>1009</v>
      </c>
      <c r="C159" s="11" t="s">
        <v>1010</v>
      </c>
      <c r="D159" s="11">
        <v>2021</v>
      </c>
      <c r="E159" s="11" t="s">
        <v>810</v>
      </c>
      <c r="F159" s="11" t="s">
        <v>287</v>
      </c>
      <c r="G159" s="11" t="s">
        <v>23</v>
      </c>
      <c r="H159" s="11" t="s">
        <v>1011</v>
      </c>
      <c r="I159" s="11">
        <v>3.5</v>
      </c>
      <c r="J159" s="11"/>
      <c r="K159" s="11"/>
      <c r="L159" s="12"/>
      <c r="M159" s="12" t="s">
        <v>1012</v>
      </c>
      <c r="N15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9" s="11"/>
      <c r="P159" s="11"/>
      <c r="Q159" s="11" t="s">
        <v>1013</v>
      </c>
      <c r="R159" s="11"/>
      <c r="S159" s="11" t="s">
        <v>1014</v>
      </c>
      <c r="T159" s="11" t="s">
        <v>1015</v>
      </c>
    </row>
    <row r="160" spans="1:20" ht="70" x14ac:dyDescent="0.2">
      <c r="A160" s="11" t="s">
        <v>18</v>
      </c>
      <c r="B160" s="11" t="s">
        <v>72</v>
      </c>
      <c r="C160" s="11" t="s">
        <v>1016</v>
      </c>
      <c r="D160" s="11">
        <v>2018</v>
      </c>
      <c r="E160" s="11" t="s">
        <v>810</v>
      </c>
      <c r="F160" s="11" t="s">
        <v>74</v>
      </c>
      <c r="G160" s="11" t="s">
        <v>75</v>
      </c>
      <c r="H160" s="11" t="s">
        <v>1017</v>
      </c>
      <c r="I160" s="11">
        <v>3.9</v>
      </c>
      <c r="J160" s="11">
        <v>1354</v>
      </c>
      <c r="K160" s="11"/>
      <c r="L160" s="12"/>
      <c r="M160" s="12" t="s">
        <v>1018</v>
      </c>
      <c r="N16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E2</v>
      </c>
      <c r="O160" s="11">
        <v>1</v>
      </c>
      <c r="P160" s="11"/>
      <c r="Q160" s="11" t="s">
        <v>1019</v>
      </c>
      <c r="R160" s="11"/>
      <c r="S160" s="11" t="s">
        <v>1020</v>
      </c>
      <c r="T160" s="11" t="s">
        <v>1021</v>
      </c>
    </row>
    <row r="161" spans="1:20" x14ac:dyDescent="0.2">
      <c r="A161" s="11" t="s">
        <v>29</v>
      </c>
      <c r="B161" s="11" t="s">
        <v>1022</v>
      </c>
      <c r="C161" s="11" t="s">
        <v>1023</v>
      </c>
      <c r="D161" s="11">
        <v>2021</v>
      </c>
      <c r="E161" s="11" t="s">
        <v>810</v>
      </c>
      <c r="F161" s="11" t="s">
        <v>89</v>
      </c>
      <c r="G161" s="11" t="s">
        <v>83</v>
      </c>
      <c r="H161" s="11" t="s">
        <v>921</v>
      </c>
      <c r="I161" s="11">
        <v>4.2</v>
      </c>
      <c r="J161" s="11"/>
      <c r="K161" s="11"/>
      <c r="L161" s="12"/>
      <c r="M161" s="12" t="s">
        <v>50</v>
      </c>
      <c r="N16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61" s="11"/>
      <c r="P161" s="11"/>
      <c r="Q161" s="11" t="s">
        <v>1024</v>
      </c>
      <c r="R161" s="11"/>
      <c r="S161" s="11" t="s">
        <v>1025</v>
      </c>
      <c r="T161" s="11" t="s">
        <v>1026</v>
      </c>
    </row>
    <row r="162" spans="1:20" ht="70" x14ac:dyDescent="0.2">
      <c r="A162" s="11" t="s">
        <v>29</v>
      </c>
      <c r="B162" s="11" t="s">
        <v>599</v>
      </c>
      <c r="C162" s="11" t="s">
        <v>1027</v>
      </c>
      <c r="D162" s="11">
        <v>2021</v>
      </c>
      <c r="E162" s="11" t="s">
        <v>810</v>
      </c>
      <c r="F162" s="11" t="s">
        <v>22</v>
      </c>
      <c r="G162" s="11" t="s">
        <v>23</v>
      </c>
      <c r="H162" s="11" t="s">
        <v>896</v>
      </c>
      <c r="I162" s="11">
        <v>3.8</v>
      </c>
      <c r="J162" s="11"/>
      <c r="K162" s="11"/>
      <c r="L162" s="12"/>
      <c r="M162" s="12" t="s">
        <v>1028</v>
      </c>
      <c r="N16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2" s="11"/>
      <c r="P162" s="11"/>
      <c r="Q162" s="11" t="s">
        <v>1029</v>
      </c>
      <c r="R162" s="11"/>
      <c r="S162" s="11" t="s">
        <v>1030</v>
      </c>
      <c r="T162" s="11" t="s">
        <v>1031</v>
      </c>
    </row>
    <row r="163" spans="1:20" ht="42" x14ac:dyDescent="0.2">
      <c r="A163" s="11" t="s">
        <v>18</v>
      </c>
      <c r="B163" s="11" t="s">
        <v>1032</v>
      </c>
      <c r="C163" s="11" t="s">
        <v>1033</v>
      </c>
      <c r="D163" s="11">
        <v>2023</v>
      </c>
      <c r="E163" s="11" t="s">
        <v>810</v>
      </c>
      <c r="F163" s="11" t="s">
        <v>136</v>
      </c>
      <c r="G163" s="11" t="s">
        <v>75</v>
      </c>
      <c r="H163" s="11" t="s">
        <v>1034</v>
      </c>
      <c r="I163" s="11">
        <v>3.7</v>
      </c>
      <c r="J163" s="11">
        <v>706</v>
      </c>
      <c r="K163" s="11"/>
      <c r="L163" s="12"/>
      <c r="M163" s="12" t="s">
        <v>1035</v>
      </c>
      <c r="N16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A7 - B7</v>
      </c>
      <c r="O163" s="11">
        <v>2</v>
      </c>
      <c r="P163" s="11"/>
      <c r="Q163" s="11" t="s">
        <v>1036</v>
      </c>
      <c r="R163" s="11"/>
      <c r="S163" s="11" t="s">
        <v>1037</v>
      </c>
      <c r="T163" s="11" t="s">
        <v>1038</v>
      </c>
    </row>
    <row r="164" spans="1:20" ht="98" x14ac:dyDescent="0.2">
      <c r="A164" s="11" t="s">
        <v>18</v>
      </c>
      <c r="B164" s="11" t="s">
        <v>1039</v>
      </c>
      <c r="C164" s="11" t="s">
        <v>1040</v>
      </c>
      <c r="D164" s="11">
        <v>2021</v>
      </c>
      <c r="E164" s="11" t="s">
        <v>810</v>
      </c>
      <c r="F164" s="11" t="s">
        <v>1041</v>
      </c>
      <c r="G164" s="11" t="s">
        <v>392</v>
      </c>
      <c r="H164" s="11" t="s">
        <v>1042</v>
      </c>
      <c r="I164" s="11">
        <v>4.0999999999999996</v>
      </c>
      <c r="J164" s="11">
        <v>43798</v>
      </c>
      <c r="K164" s="11"/>
      <c r="L164" s="12"/>
      <c r="M164" s="12" t="s">
        <v>1043</v>
      </c>
      <c r="N16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B3, C1</v>
      </c>
      <c r="O164" s="11">
        <v>2</v>
      </c>
      <c r="P164" s="11"/>
      <c r="Q164" s="11" t="s">
        <v>1044</v>
      </c>
      <c r="R164" s="11"/>
      <c r="S164" s="11" t="s">
        <v>1045</v>
      </c>
      <c r="T164" s="11" t="s">
        <v>1046</v>
      </c>
    </row>
    <row r="165" spans="1:20" ht="42" x14ac:dyDescent="0.2">
      <c r="A165" s="11" t="s">
        <v>18</v>
      </c>
      <c r="B165" s="11" t="s">
        <v>465</v>
      </c>
      <c r="C165" s="11" t="s">
        <v>1047</v>
      </c>
      <c r="D165" s="11">
        <v>2020</v>
      </c>
      <c r="E165" s="11" t="s">
        <v>810</v>
      </c>
      <c r="F165" s="11" t="s">
        <v>467</v>
      </c>
      <c r="G165" s="11" t="s">
        <v>468</v>
      </c>
      <c r="H165" s="11"/>
      <c r="I165" s="11">
        <v>3.8</v>
      </c>
      <c r="J165" s="11">
        <v>572</v>
      </c>
      <c r="K165" s="11"/>
      <c r="L165" s="12"/>
      <c r="M165" s="12" t="s">
        <v>1048</v>
      </c>
      <c r="N16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65" s="11">
        <v>1</v>
      </c>
      <c r="P165" s="11"/>
      <c r="Q165" s="11" t="s">
        <v>1049</v>
      </c>
      <c r="R165" s="11"/>
      <c r="S165" s="11" t="s">
        <v>1050</v>
      </c>
      <c r="T165" s="11" t="s">
        <v>1051</v>
      </c>
    </row>
    <row r="166" spans="1:20" ht="70" x14ac:dyDescent="0.2">
      <c r="A166" s="11" t="s">
        <v>18</v>
      </c>
      <c r="B166" s="11" t="s">
        <v>1052</v>
      </c>
      <c r="C166" s="11" t="s">
        <v>1053</v>
      </c>
      <c r="D166" s="11">
        <v>2015</v>
      </c>
      <c r="E166" s="11" t="s">
        <v>810</v>
      </c>
      <c r="F166" s="11" t="s">
        <v>1054</v>
      </c>
      <c r="G166" s="11" t="s">
        <v>326</v>
      </c>
      <c r="H166" s="11" t="s">
        <v>1055</v>
      </c>
      <c r="I166" s="11">
        <v>3.8</v>
      </c>
      <c r="J166" s="11">
        <v>137</v>
      </c>
      <c r="K166" s="11"/>
      <c r="L166" s="12"/>
      <c r="M166" s="12" t="s">
        <v>1056</v>
      </c>
      <c r="N16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H6 - I6 - J6</v>
      </c>
      <c r="O166" s="11">
        <v>3</v>
      </c>
      <c r="P166" s="11"/>
      <c r="Q166" s="11" t="s">
        <v>1057</v>
      </c>
      <c r="R166" s="11"/>
      <c r="S166" s="11" t="s">
        <v>1058</v>
      </c>
      <c r="T166" s="11" t="s">
        <v>1059</v>
      </c>
    </row>
    <row r="167" spans="1:20" ht="42" x14ac:dyDescent="0.2">
      <c r="A167" s="11" t="s">
        <v>29</v>
      </c>
      <c r="B167" s="11" t="s">
        <v>1060</v>
      </c>
      <c r="C167" s="11" t="s">
        <v>1061</v>
      </c>
      <c r="D167" s="11">
        <v>2021</v>
      </c>
      <c r="E167" s="11" t="s">
        <v>810</v>
      </c>
      <c r="F167" s="11" t="s">
        <v>619</v>
      </c>
      <c r="G167" s="11" t="s">
        <v>152</v>
      </c>
      <c r="H167" s="11" t="s">
        <v>973</v>
      </c>
      <c r="I167" s="11">
        <v>3.6</v>
      </c>
      <c r="J167" s="11"/>
      <c r="K167" s="11"/>
      <c r="L167" s="12"/>
      <c r="M167" s="12" t="s">
        <v>1062</v>
      </c>
      <c r="N16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7" s="11"/>
      <c r="P167" s="11"/>
      <c r="Q167" s="11" t="s">
        <v>1063</v>
      </c>
      <c r="R167" s="11"/>
      <c r="S167" s="11" t="s">
        <v>1064</v>
      </c>
      <c r="T167" s="11" t="s">
        <v>1065</v>
      </c>
    </row>
    <row r="168" spans="1:20" ht="70" x14ac:dyDescent="0.2">
      <c r="A168" s="11" t="s">
        <v>29</v>
      </c>
      <c r="B168" s="11" t="s">
        <v>1066</v>
      </c>
      <c r="C168" s="11" t="s">
        <v>1067</v>
      </c>
      <c r="D168" s="11">
        <v>2022</v>
      </c>
      <c r="E168" s="11" t="s">
        <v>810</v>
      </c>
      <c r="F168" s="11" t="s">
        <v>1068</v>
      </c>
      <c r="G168" s="11" t="s">
        <v>182</v>
      </c>
      <c r="H168" s="11" t="s">
        <v>1069</v>
      </c>
      <c r="I168" s="11">
        <v>3.4</v>
      </c>
      <c r="J168" s="11"/>
      <c r="K168" s="11"/>
      <c r="L168" s="12"/>
      <c r="M168" s="12" t="s">
        <v>1070</v>
      </c>
      <c r="N16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8" s="11"/>
      <c r="P168" s="11"/>
      <c r="Q168" s="11" t="s">
        <v>1071</v>
      </c>
      <c r="R168" s="11"/>
      <c r="S168" s="11" t="s">
        <v>1072</v>
      </c>
      <c r="T168" s="11" t="s">
        <v>1073</v>
      </c>
    </row>
    <row r="169" spans="1:20" ht="42" x14ac:dyDescent="0.2">
      <c r="A169" s="11" t="s">
        <v>18</v>
      </c>
      <c r="B169" s="11" t="s">
        <v>80</v>
      </c>
      <c r="C169" s="11" t="s">
        <v>1074</v>
      </c>
      <c r="D169" s="11"/>
      <c r="E169" s="11" t="s">
        <v>810</v>
      </c>
      <c r="F169" s="11" t="s">
        <v>1075</v>
      </c>
      <c r="G169" s="11" t="s">
        <v>83</v>
      </c>
      <c r="H169" s="11" t="s">
        <v>921</v>
      </c>
      <c r="I169" s="11">
        <v>4</v>
      </c>
      <c r="J169" s="11">
        <v>353</v>
      </c>
      <c r="K169" s="11"/>
      <c r="L169" s="12"/>
      <c r="M169" s="12" t="s">
        <v>1076</v>
      </c>
      <c r="N16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E5, F5, G5, H5</v>
      </c>
      <c r="O169" s="11">
        <v>4</v>
      </c>
      <c r="P169" s="11"/>
      <c r="Q169" s="11" t="s">
        <v>1077</v>
      </c>
      <c r="R169" s="11"/>
      <c r="S169" s="11" t="s">
        <v>1078</v>
      </c>
      <c r="T169" s="11" t="s">
        <v>1079</v>
      </c>
    </row>
    <row r="170" spans="1:20" ht="42" x14ac:dyDescent="0.2">
      <c r="A170" s="11" t="s">
        <v>18</v>
      </c>
      <c r="B170" s="11" t="s">
        <v>80</v>
      </c>
      <c r="C170" s="11" t="s">
        <v>1080</v>
      </c>
      <c r="D170" s="11"/>
      <c r="E170" s="11" t="s">
        <v>810</v>
      </c>
      <c r="F170" s="11" t="s">
        <v>89</v>
      </c>
      <c r="G170" s="11" t="s">
        <v>83</v>
      </c>
      <c r="H170" s="11" t="s">
        <v>921</v>
      </c>
      <c r="I170" s="11">
        <v>3.7</v>
      </c>
      <c r="J170" s="11">
        <v>75</v>
      </c>
      <c r="K170" s="11"/>
      <c r="L170" s="12"/>
      <c r="M170" s="12" t="s">
        <v>1081</v>
      </c>
      <c r="N17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C5, D5</v>
      </c>
      <c r="O170" s="11">
        <v>2</v>
      </c>
      <c r="P170" s="11"/>
      <c r="Q170" s="11" t="s">
        <v>1082</v>
      </c>
      <c r="R170" s="11"/>
      <c r="S170" s="11" t="s">
        <v>1083</v>
      </c>
      <c r="T170" s="11" t="s">
        <v>1084</v>
      </c>
    </row>
    <row r="171" spans="1:20" ht="42" x14ac:dyDescent="0.2">
      <c r="A171" s="11" t="s">
        <v>29</v>
      </c>
      <c r="B171" s="11" t="s">
        <v>631</v>
      </c>
      <c r="C171" s="11" t="s">
        <v>1085</v>
      </c>
      <c r="D171" s="11">
        <v>2019</v>
      </c>
      <c r="E171" s="11" t="s">
        <v>810</v>
      </c>
      <c r="F171" s="11" t="s">
        <v>89</v>
      </c>
      <c r="G171" s="11" t="s">
        <v>83</v>
      </c>
      <c r="H171" s="11" t="s">
        <v>921</v>
      </c>
      <c r="I171" s="11">
        <v>4.2</v>
      </c>
      <c r="J171" s="11"/>
      <c r="K171" s="11"/>
      <c r="L171" s="12"/>
      <c r="M171" s="12" t="s">
        <v>1086</v>
      </c>
      <c r="N17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in de la met sterke drank</v>
      </c>
      <c r="O171" s="11"/>
      <c r="P171" s="11"/>
      <c r="Q171" s="11" t="s">
        <v>1087</v>
      </c>
      <c r="R171" s="11"/>
      <c r="S171" s="11" t="s">
        <v>1088</v>
      </c>
      <c r="T171" s="11" t="s">
        <v>1089</v>
      </c>
    </row>
    <row r="172" spans="1:20" ht="98" x14ac:dyDescent="0.2">
      <c r="A172" s="11" t="s">
        <v>18</v>
      </c>
      <c r="B172" s="11" t="s">
        <v>631</v>
      </c>
      <c r="C172" s="11" t="s">
        <v>1090</v>
      </c>
      <c r="D172" s="11"/>
      <c r="E172" s="11" t="s">
        <v>810</v>
      </c>
      <c r="F172" s="11" t="s">
        <v>89</v>
      </c>
      <c r="G172" s="11" t="s">
        <v>83</v>
      </c>
      <c r="H172" s="11" t="s">
        <v>921</v>
      </c>
      <c r="I172" s="11">
        <v>3.7</v>
      </c>
      <c r="J172" s="11">
        <v>89</v>
      </c>
      <c r="K172" s="11"/>
      <c r="L172" s="12"/>
      <c r="M172" s="12" t="s">
        <v>1091</v>
      </c>
      <c r="N17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Doos 2, , Foto Moezel wijnhuis Loersch, sky lounge:, Het druivenveld op de helling achter het dorpje.</v>
      </c>
      <c r="O172" s="11">
        <v>6</v>
      </c>
      <c r="P172" s="11"/>
      <c r="Q172" s="11" t="s">
        <v>1092</v>
      </c>
      <c r="R172" s="11"/>
      <c r="S172" s="11" t="s">
        <v>1093</v>
      </c>
      <c r="T172" s="11" t="s">
        <v>1094</v>
      </c>
    </row>
    <row r="173" spans="1:20" ht="42" x14ac:dyDescent="0.2">
      <c r="A173" s="11" t="s">
        <v>18</v>
      </c>
      <c r="B173" s="11" t="s">
        <v>631</v>
      </c>
      <c r="C173" s="11" t="s">
        <v>1095</v>
      </c>
      <c r="D173" s="11"/>
      <c r="E173" s="11" t="s">
        <v>810</v>
      </c>
      <c r="F173" s="11" t="s">
        <v>89</v>
      </c>
      <c r="G173" s="11" t="s">
        <v>83</v>
      </c>
      <c r="H173" s="11" t="s">
        <v>921</v>
      </c>
      <c r="I173" s="11">
        <v>4.2</v>
      </c>
      <c r="J173" s="11">
        <v>60</v>
      </c>
      <c r="K173" s="11"/>
      <c r="L173" s="12"/>
      <c r="M173" s="12" t="s">
        <v>1096</v>
      </c>
      <c r="N17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I7, J7</v>
      </c>
      <c r="O173" s="11">
        <v>2</v>
      </c>
      <c r="P173" s="11"/>
      <c r="Q173" s="11" t="s">
        <v>1097</v>
      </c>
      <c r="R173" s="11"/>
      <c r="S173" s="11" t="s">
        <v>1098</v>
      </c>
      <c r="T173" s="11" t="s">
        <v>1099</v>
      </c>
    </row>
    <row r="174" spans="1:20" ht="126" x14ac:dyDescent="0.2">
      <c r="A174" s="11" t="s">
        <v>18</v>
      </c>
      <c r="B174" s="11" t="s">
        <v>631</v>
      </c>
      <c r="C174" s="11" t="s">
        <v>1100</v>
      </c>
      <c r="D174" s="11">
        <v>2023</v>
      </c>
      <c r="E174" s="11" t="s">
        <v>810</v>
      </c>
      <c r="F174" s="11" t="s">
        <v>89</v>
      </c>
      <c r="G174" s="11" t="s">
        <v>83</v>
      </c>
      <c r="H174" s="11" t="s">
        <v>921</v>
      </c>
      <c r="I174" s="11">
        <v>3.9</v>
      </c>
      <c r="J174" s="11">
        <v>32</v>
      </c>
      <c r="K174" s="11"/>
      <c r="L174" s="12"/>
      <c r="M174" s="12" t="s">
        <v>1101</v>
      </c>
      <c r="N17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A9, B9, C9, Koelkast: 2, , Foto Moezel wijnhuis Loersch, sky lounge:, Het druivenveld op de helling rechts, aan de andere kant van de Moezel.</v>
      </c>
      <c r="O174" s="11">
        <v>5</v>
      </c>
      <c r="P174" s="11"/>
      <c r="Q174" s="11" t="s">
        <v>1102</v>
      </c>
      <c r="R174" s="11"/>
      <c r="S174" s="11" t="s">
        <v>1103</v>
      </c>
      <c r="T174" s="11" t="s">
        <v>1104</v>
      </c>
    </row>
    <row r="175" spans="1:20" ht="70" x14ac:dyDescent="0.2">
      <c r="A175" s="11" t="s">
        <v>18</v>
      </c>
      <c r="B175" s="11" t="s">
        <v>1105</v>
      </c>
      <c r="C175" s="11" t="s">
        <v>1106</v>
      </c>
      <c r="D175" s="11">
        <v>2022</v>
      </c>
      <c r="E175" s="11" t="s">
        <v>810</v>
      </c>
      <c r="F175" s="11" t="s">
        <v>1107</v>
      </c>
      <c r="G175" s="11" t="s">
        <v>162</v>
      </c>
      <c r="H175" s="11" t="s">
        <v>936</v>
      </c>
      <c r="I175" s="11">
        <v>3.8</v>
      </c>
      <c r="J175" s="11">
        <v>2104</v>
      </c>
      <c r="K175" s="11"/>
      <c r="L175" s="12"/>
      <c r="M175" s="12" t="s">
        <v>1108</v>
      </c>
      <c r="N17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G7</v>
      </c>
      <c r="O175" s="11">
        <v>1</v>
      </c>
      <c r="P175" s="11"/>
      <c r="Q175" s="11" t="s">
        <v>1109</v>
      </c>
      <c r="R175" s="11"/>
      <c r="S175" s="11" t="s">
        <v>1110</v>
      </c>
      <c r="T175" s="11" t="s">
        <v>1111</v>
      </c>
    </row>
    <row r="176" spans="1:20" ht="70" x14ac:dyDescent="0.2">
      <c r="A176" s="11" t="s">
        <v>18</v>
      </c>
      <c r="B176" s="11" t="s">
        <v>1105</v>
      </c>
      <c r="C176" s="11" t="s">
        <v>1106</v>
      </c>
      <c r="D176" s="11">
        <v>2020</v>
      </c>
      <c r="E176" s="11" t="s">
        <v>810</v>
      </c>
      <c r="F176" s="11" t="s">
        <v>1107</v>
      </c>
      <c r="G176" s="11" t="s">
        <v>162</v>
      </c>
      <c r="H176" s="11" t="s">
        <v>936</v>
      </c>
      <c r="I176" s="11">
        <v>3.8</v>
      </c>
      <c r="J176" s="11">
        <v>2104</v>
      </c>
      <c r="K176" s="11"/>
      <c r="L176" s="12"/>
      <c r="M176" s="12" t="s">
        <v>1112</v>
      </c>
      <c r="N17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E7 - F7</v>
      </c>
      <c r="O176" s="11">
        <v>2</v>
      </c>
      <c r="P176" s="11"/>
      <c r="Q176" s="11" t="s">
        <v>1113</v>
      </c>
      <c r="R176" s="11"/>
      <c r="S176" s="11" t="s">
        <v>1114</v>
      </c>
      <c r="T176" s="11" t="s">
        <v>1115</v>
      </c>
    </row>
    <row r="177" spans="1:20" ht="56" x14ac:dyDescent="0.2">
      <c r="A177" s="11" t="s">
        <v>18</v>
      </c>
      <c r="B177" s="11" t="s">
        <v>1116</v>
      </c>
      <c r="C177" s="11" t="s">
        <v>1117</v>
      </c>
      <c r="D177" s="11">
        <v>2024</v>
      </c>
      <c r="E177" s="11" t="s">
        <v>810</v>
      </c>
      <c r="F177" s="11" t="s">
        <v>258</v>
      </c>
      <c r="G177" s="11" t="s">
        <v>23</v>
      </c>
      <c r="H177" s="11" t="s">
        <v>1118</v>
      </c>
      <c r="I177" s="11">
        <v>3.5</v>
      </c>
      <c r="J177" s="11">
        <v>8099</v>
      </c>
      <c r="K177" s="11"/>
      <c r="L177" s="12"/>
      <c r="M177" s="12" t="s">
        <v>1119</v>
      </c>
      <c r="N17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G2</v>
      </c>
      <c r="O177" s="11">
        <v>1</v>
      </c>
      <c r="P177" s="11"/>
      <c r="Q177" s="11" t="s">
        <v>1120</v>
      </c>
      <c r="R177" s="11"/>
      <c r="S177" s="11" t="s">
        <v>1121</v>
      </c>
      <c r="T177" s="11" t="s">
        <v>1122</v>
      </c>
    </row>
    <row r="178" spans="1:20" x14ac:dyDescent="0.2">
      <c r="A178" s="11" t="s">
        <v>29</v>
      </c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2"/>
      <c r="M178" s="12"/>
      <c r="N17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8" s="11"/>
      <c r="P178" s="11"/>
      <c r="Q178" s="11" t="s">
        <v>1123</v>
      </c>
      <c r="R178" s="11"/>
      <c r="S178" s="11"/>
      <c r="T178" s="11" t="s">
        <v>1124</v>
      </c>
    </row>
    <row r="179" spans="1:20" x14ac:dyDescent="0.2">
      <c r="A179" s="11" t="s">
        <v>29</v>
      </c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2"/>
      <c r="M179" s="12"/>
      <c r="N17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9" s="11"/>
      <c r="P179" s="11"/>
      <c r="Q179" s="11" t="s">
        <v>1125</v>
      </c>
      <c r="R179" s="11"/>
      <c r="S179" s="11"/>
      <c r="T179" s="11" t="s">
        <v>1126</v>
      </c>
    </row>
    <row r="180" spans="1:20" x14ac:dyDescent="0.2">
      <c r="A180" s="11" t="s">
        <v>29</v>
      </c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2"/>
      <c r="M180" s="12"/>
      <c r="N18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80" s="11"/>
      <c r="P180" s="11"/>
      <c r="Q180" s="11" t="s">
        <v>1127</v>
      </c>
      <c r="R180" s="11"/>
      <c r="S180" s="11"/>
      <c r="T180" s="11" t="s">
        <v>1128</v>
      </c>
    </row>
  </sheetData>
  <hyperlinks>
    <hyperlink ref="S2" r:id="rId1" xr:uid="{79BFB84D-0830-8744-BBBB-BE52EEA67D1B}"/>
    <hyperlink ref="T2" r:id="rId2" xr:uid="{07C21B2D-C265-C948-9183-8A13D255FA5A}"/>
  </hyperlinks>
  <pageMargins left="0.75" right="0.75" top="1" bottom="1" header="0.5" footer="0.5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8.83203125" defaultRowHeight="15" x14ac:dyDescent="0.2"/>
  <cols>
    <col min="1" max="1" width="16" customWidth="1"/>
    <col min="2" max="2" width="32" customWidth="1"/>
  </cols>
  <sheetData>
    <row r="1" spans="1:2" x14ac:dyDescent="0.2">
      <c r="A1" s="1" t="s">
        <v>1129</v>
      </c>
      <c r="B1" s="1" t="s">
        <v>1130</v>
      </c>
    </row>
    <row r="2" spans="1:2" x14ac:dyDescent="0.2">
      <c r="A2" s="2" t="s">
        <v>1131</v>
      </c>
      <c r="B2" s="3" t="s">
        <v>1132</v>
      </c>
    </row>
    <row r="3" spans="1:2" x14ac:dyDescent="0.2">
      <c r="A3" s="4" t="s">
        <v>1133</v>
      </c>
      <c r="B3" s="3" t="s">
        <v>1134</v>
      </c>
    </row>
    <row r="4" spans="1:2" x14ac:dyDescent="0.2">
      <c r="A4" s="5" t="s">
        <v>1135</v>
      </c>
      <c r="B4" s="3" t="s">
        <v>1136</v>
      </c>
    </row>
    <row r="5" spans="1:2" x14ac:dyDescent="0.2">
      <c r="A5" s="6" t="s">
        <v>1137</v>
      </c>
      <c r="B5" s="3" t="s">
        <v>1138</v>
      </c>
    </row>
    <row r="6" spans="1:2" x14ac:dyDescent="0.2">
      <c r="A6" s="7" t="s">
        <v>1139</v>
      </c>
      <c r="B6" s="3" t="s">
        <v>1140</v>
      </c>
    </row>
    <row r="7" spans="1:2" x14ac:dyDescent="0.2">
      <c r="A7" s="8" t="s">
        <v>1141</v>
      </c>
      <c r="B7" s="3" t="s">
        <v>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All Wines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Arnold Ruijter</cp:lastModifiedBy>
  <dcterms:created xsi:type="dcterms:W3CDTF">2026-05-05T18:56:12Z</dcterms:created>
  <dcterms:modified xsi:type="dcterms:W3CDTF">2026-05-09T13:48:34Z</dcterms:modified>
</cp:coreProperties>
</file>